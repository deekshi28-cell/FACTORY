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FactoryKA\"/>
    </mc:Choice>
  </mc:AlternateContent>
  <xr:revisionPtr revIDLastSave="0" documentId="13_ncr:1_{30586A98-B848-485D-BF2D-D07DB350AEAA}" xr6:coauthVersionLast="47" xr6:coauthVersionMax="47" xr10:uidLastSave="{00000000-0000-0000-0000-000000000000}"/>
  <bookViews>
    <workbookView xWindow="-110" yWindow="-110" windowWidth="19420" windowHeight="11500" tabRatio="500" xr2:uid="{00000000-000D-0000-FFFF-FFFF00000000}"/>
  </bookViews>
  <sheets>
    <sheet name="Test Question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c r="C8" i="2"/>
  <c r="D7" i="2"/>
  <c r="C7" i="2"/>
  <c r="D6" i="2"/>
  <c r="C6" i="2"/>
  <c r="D5" i="2"/>
  <c r="C5" i="2"/>
  <c r="D4" i="2"/>
  <c r="C4" i="2"/>
  <c r="C9" i="2" l="1"/>
  <c r="D9" i="2"/>
</calcChain>
</file>

<file path=xl/sharedStrings.xml><?xml version="1.0" encoding="utf-8"?>
<sst xmlns="http://schemas.openxmlformats.org/spreadsheetml/2006/main" count="612" uniqueCount="320">
  <si>
    <t>No.</t>
  </si>
  <si>
    <t>Category</t>
  </si>
  <si>
    <t>Question</t>
  </si>
  <si>
    <t>Expected Answer</t>
  </si>
  <si>
    <t>Source Document</t>
  </si>
  <si>
    <t>Status</t>
  </si>
  <si>
    <t>Table</t>
  </si>
  <si>
    <t>What is the shipping weight based on the number of poles?</t>
  </si>
  <si>
    <t>2-4 Pole: 44 lbs (Open), 5 lbs (NEMA 1), 14 lbs (NEMA 4). 6-8 Pole: 2.67 lbs (Open), 2 lbs (attachments). 6-8 Pole convertible: 3.33 lbs.</t>
  </si>
  <si>
    <t>Tested - Pass</t>
  </si>
  <si>
    <t>What should I do if I get an E-07 fault?</t>
  </si>
  <si>
    <t>E-07 = Drive overheat (OH1). Cause: heatsink temp exceeds threshold, blocked/failed fan. Action: clean heatsink, check airflow, inspect/replace fan, verify ambient temp.</t>
  </si>
  <si>
    <t>Picture</t>
  </si>
  <si>
    <t>What does the schematic diagram show for the circuit components?</t>
  </si>
  <si>
    <t>Resistors (R1-R4), capacitors (C1, C2), diodes (D1, D2), voltage regulator (7805); regulates stable 5V output.</t>
  </si>
  <si>
    <t>What electrical panel components are shown in the diagrams?</t>
  </si>
  <si>
    <t>Circuit breakers, switches, relays, labels, wiring connections, and a display screen.</t>
  </si>
  <si>
    <t>What safety information is shown in the diagrams?</t>
  </si>
  <si>
    <t>Warning symbols and cautions (Danger/Warning/Caution) for electrical hazards; part-number/safety labels for mechanical device and hydraulic press.</t>
  </si>
  <si>
    <t>What does the mounting diagram show for panel installation?</t>
  </si>
  <si>
    <t>Dimensions and mounting details for a relay bracket - bracket dimensions, screw clearance, boss hole diameter.</t>
  </si>
  <si>
    <t>What is illustrated for the grounding or earthing connections?</t>
  </si>
  <si>
    <t>Grounding points identified across diagrams, including star washers and lock nuts as part of the earthing arrangement.</t>
  </si>
  <si>
    <t>What does the diagram show for the control circuit sequence?</t>
  </si>
  <si>
    <t>Three-phase motor control sequence - STOP/START/TR/RUN/OL'S labels for switches, relays, overload protection, two-wire control device wiring.</t>
  </si>
  <si>
    <t>回路図に示されている部品は何ですか？ (circuit diagram components)</t>
  </si>
  <si>
    <t>Resistors, capacitors, diodes correctly identified with reference numbers, in Japanese.</t>
  </si>
  <si>
    <t>dgr.pdf / 6.docx / 6.pdf / 11.pdf</t>
  </si>
  <si>
    <t>Japanese language test</t>
  </si>
  <si>
    <t>安全に関する情報は図にどのように示されていますか？ (safety information)</t>
  </si>
  <si>
    <t>DIN standard warning symbols and safety precautions correctly identified, in Japanese.</t>
  </si>
  <si>
    <t>2.pdf / 3.pdf</t>
  </si>
  <si>
    <t>Japanese - minor code-switching noted</t>
  </si>
  <si>
    <t>OCR/Scanned</t>
  </si>
  <si>
    <t>What is the overload and short circuit protection selector used for?</t>
  </si>
  <si>
    <t>Used for selecting appropriate overload and short circuit protection devices such as fuses and circuit breakers; guidance on thermal unit and fuse selections.</t>
  </si>
  <si>
    <t>Not Found</t>
  </si>
  <si>
    <t>What is the fuel efficiency rating of this equipment?</t>
  </si>
  <si>
    <t>Correctly states information is not available.</t>
  </si>
  <si>
    <t>N/A</t>
  </si>
  <si>
    <t>What does the block diagram illustrate about the system layout?</t>
  </si>
  <si>
    <t>Correctly states not enough information to answer.</t>
  </si>
  <si>
    <t>What product information is shown on the manual's cover page?</t>
  </si>
  <si>
    <t>Correctly states context does not include cover page details.</t>
  </si>
  <si>
    <t>タイマーリレーの接点構成を示す図は何ですか？ (timer relay contact configuration)</t>
  </si>
  <si>
    <t>Correctly states information not found, in Japanese.</t>
  </si>
  <si>
    <t>Japanese not-found test</t>
  </si>
  <si>
    <t>What does fault code E-01 mean?</t>
  </si>
  <si>
    <t>Overcurrent during acceleration - caused by motor overload, short circuit in motor cable, or acceleration time too short.</t>
  </si>
  <si>
    <t>What should I do for an E-04 overvoltage fault?</t>
  </si>
  <si>
    <t>Verify incoming supply voltage is within rated range; check for power line disturbances.</t>
  </si>
  <si>
    <t>What causes an E-09 ground fault?</t>
  </si>
  <si>
    <t>Insulation breakdown in motor winding or cable, or moisture ingress.</t>
  </si>
  <si>
    <t>What is the severity level of fault code E-12?</t>
  </si>
  <si>
    <t xml:space="preserve"> The severity level of fault code E-12 is Critical.</t>
  </si>
  <si>
    <t>What does fault code E-15 indicate?</t>
  </si>
  <si>
    <t>Encoder feedback loss - caused by disconnected/damaged encoder cable or encoder failure.</t>
  </si>
  <si>
    <t>VFD3000_Fault_Alarm_Codes.xlsx</t>
  </si>
  <si>
    <t>What should I do if I get an E-10 input phase loss fault?</t>
  </si>
  <si>
    <t>Check all three input phases with a meter; inspect/replace input fuses; verify supply connections at breaker.</t>
  </si>
  <si>
    <t>What causes an E-18 CPU fault?</t>
  </si>
  <si>
    <t>Internal control board fault or electrical noise causing processor reset.</t>
  </si>
  <si>
    <t>Which fault codes are classified as Critical severity?</t>
  </si>
  <si>
    <t>E-01, E-02, E-03, E-04, E-05, E-07, E-09, E-10, E-11, E-15, E-18.</t>
  </si>
  <si>
    <t>What is the recommended action for an E-16 braking resistor overload?</t>
  </si>
  <si>
    <t>What does fault code E-06 undervoltage indicate, and what should be checked?</t>
  </si>
  <si>
    <t>Input power sag, loose input wiring, or undersized supply transformer - check incoming line voltage/connections and transformer sizing.</t>
  </si>
  <si>
    <t>What is the price of a Tesla Model 3?</t>
  </si>
  <si>
    <t>I don't have enough information to answer this.</t>
  </si>
  <si>
    <t>What is the recommended dosage for ibuprofen?</t>
  </si>
  <si>
    <t>Should correctly decline - unrelated to equipment manuals.</t>
  </si>
  <si>
    <t>What is the warranty period for this equipment?</t>
  </si>
  <si>
    <t>Should correctly decline unless explicitly covered in a manual - verify.</t>
  </si>
  <si>
    <t>What is the current stock price of the manufacturer?</t>
  </si>
  <si>
    <t>Should correctly decline - financial data not in manuals.</t>
  </si>
  <si>
    <t>How do I reset my email password?</t>
  </si>
  <si>
    <t>Should correctly decline - completely unrelated.</t>
  </si>
  <si>
    <t>What is the recommended tire pressure for a forklift?</t>
  </si>
  <si>
    <t>Should correctly decline unless explicitly covered - verify, equipment-adjacent.</t>
  </si>
  <si>
    <t xml:space="preserve"> What is the likely cause of an E-11 output phase loss fault?</t>
  </si>
  <si>
    <t xml:space="preserve"> The likely cause of an E-11 output phase loss fault is an open motor lead or motor winding failure</t>
  </si>
  <si>
    <t>What is the recommended action for an E-08 motor overload fault?</t>
  </si>
  <si>
    <t>Reduce the load or verify motor sizing; check the motor overload (thermal) parameter setting to match the nameplate current.</t>
  </si>
  <si>
    <t xml:space="preserve"> What severity level is fault code E-17 (low output current / auto-tuning failure)?</t>
  </si>
  <si>
    <t xml:space="preserve"> The severity level for fault code E-17 (low output current / auto-tuning failure) is Info.</t>
  </si>
  <si>
    <t>General</t>
  </si>
  <si>
    <t>What is the catalog number for the 0.25% AC Voltage Transducer?</t>
  </si>
  <si>
    <t xml:space="preserve"> CLE-201001</t>
  </si>
  <si>
    <t>What is the accuracy rating of the 0.25% AC Voltage Transducer?</t>
  </si>
  <si>
    <t>The accuracy rating of the 0.25% AC Voltage Transducer is ±0.25% of Rated Output</t>
  </si>
  <si>
    <t>What is the recommended use for the transducer with a Square D Transducer Relay?</t>
  </si>
  <si>
    <t>The transducer with a Square D Transducer Relay can be used for remote control functions with PR-101-TR and PR-201-TR relays, as well as for transmission of current or voltage signals over long distances with no loss in accuracy, Energy Management Systems, and Motor and Power Control Circuits.</t>
  </si>
  <si>
    <t xml:space="preserve"> What phone number should I call for Square D Field Services?</t>
  </si>
  <si>
    <t>1-800-634-2003.</t>
  </si>
  <si>
    <t>What hazards does the Digital Temperature Controller's safety warning cover?</t>
  </si>
  <si>
    <t>The Digital Temperature Controller's safety warning covers the hazards of electric shock, burn, or explosion.</t>
  </si>
  <si>
    <t>What should be checked before touching the terminal on a de-energized dry type transformer?</t>
  </si>
  <si>
    <t>Always assume that a terminal is energized unless it is checked with a properly rated meter to confirm that it is de-energized and grounded.</t>
  </si>
  <si>
    <t>What type of coils do Class 8965 Valve Contactor devices use?</t>
  </si>
  <si>
    <t>Class 8965 Valve Contactor devices utilize molded case coils.</t>
  </si>
  <si>
    <t xml:space="preserve"> What are Class 8965 Valve Contactors designed to be used for?</t>
  </si>
  <si>
    <t xml:space="preserve"> Class 8965 Valve Contactors have been designed for use on motorized valve actuators.</t>
  </si>
  <si>
    <t>What electrical interlocks are available on 8965 contactors?</t>
  </si>
  <si>
    <t xml:space="preserve"> Auxiliary interlocks are available on all 8965 contactors, except those with normally closed power poles. These interlocks can provide either normally open (NO) or normally closed (NC) contacts, with a total of 4 single circuit auxiliary contacts available per contactor.</t>
  </si>
  <si>
    <t>What does the integrated equipment rating establish for I-LINE Power Panelboards?</t>
  </si>
  <si>
    <t>The short circuit rating of the complete panelboard with branch circuit breakers installed, proving the breaker interrupting rating with the breakers installed on the bus assembly</t>
  </si>
  <si>
    <t>What does the integrated equipment rating confirm about the line side bus and insulation assembly?</t>
  </si>
  <si>
    <t>It confirms the ability of the line side bus and the insulation assembly to withstand any ionized gases discharged from a branch circuit breaker during a short circuit interruption without causing a line side phase-to-phase arc on the busbar assembly.</t>
  </si>
  <si>
    <t>What design feature makes the integrated equipment rating possible on I-LINE panelboards?</t>
  </si>
  <si>
    <t>The single vertical stack of busbars makes the integrated equipment rating possible on I-LINE panelboards.</t>
  </si>
  <si>
    <t>Class 8822 reduced voltage autotransformer type synchronous starters are used whenever it is necessary to limit either the motor inrush or the motor torque on starting.</t>
  </si>
  <si>
    <t>What is the I-LINE Power Panelboard described as in terms of safety?</t>
  </si>
  <si>
    <t>The I-LINE Power Panelboard is described as providing unparalleled personnel safety with features such as "dead front" protection, captive hinged lug cover protection, and integrated equipment rating verification. Additionally, it includes safety measures like dead-metal filler blanks, properly-spaced lifting holes, and barrier-enclosed main breaker compartments for extra safety.</t>
  </si>
  <si>
    <t xml:space="preserve"> What material are the I-LINE busbars made from, and how are they arranged?</t>
  </si>
  <si>
    <t>The I-LINE busbars are plated and assembled in a single vertical stack on the panelboard's interior pan. They are separated and continuously supported by molded polyester glass insulators, with larger polyester glass insulators at the bottom of each stack.</t>
  </si>
  <si>
    <t>What document sections are covered in the Overload and Short Circuit Protection Selector guide?</t>
  </si>
  <si>
    <t xml:space="preserve"> Application Data (General, Motor Branch Circuit Design, Relays), Branch Circuit Protection (Fuses, Maximum/Recommended Fuse Selections), Thermal Unit Selections (Calculation of Trip Current Rating, Instructions, Approximate Selection), and an Index</t>
  </si>
  <si>
    <t>Phase 2 Test Question Set — Progress Summary</t>
  </si>
  <si>
    <t>Target</t>
  </si>
  <si>
    <t>Written</t>
  </si>
  <si>
    <t>Tested (Pass)</t>
  </si>
  <si>
    <t>TOTAL</t>
  </si>
  <si>
    <t xml:space="preserve"> What connection type does the UC100 controller use to interface with the environment?</t>
  </si>
  <si>
    <t>The UC100 controller uses a DB25 connection type to interface with the environment, which has the same pinout as a printer port.</t>
  </si>
  <si>
    <t>What operating systems is the UC100 controller compatible with?</t>
  </si>
  <si>
    <t>The UC100 controller is compatible with Windows XP, Windows 7, and Windows 8.</t>
  </si>
  <si>
    <t>How can the UC100 controller replace an LPT port on an existing system?</t>
  </si>
  <si>
    <t xml:space="preserve"> The UC100 controller can replace an LPT port on an existing system simply by plugging the controller into the USB port of the PC and plugging the DSUB25 cable end, which was originally connected to the LPT port of the PC, into the UC100 controller's DSUB-25 port.</t>
  </si>
  <si>
    <t xml:space="preserve"> 13.pdf (page 3)</t>
  </si>
  <si>
    <t>How does the UC100's DSP core benefit CNC motion control compared to Mach3 using the LPT port driver?</t>
  </si>
  <si>
    <t>The UC100's DSP core benefits CNC motion control by making interpolations and other timings much more precise compared to what Mach3 could do with its standard LPT port driver. Additionally, since time-critical tasks are handled on the UC100 controller rather than the PC side, the PC's CPU usage is reduced, lowering the risk of overloading PC resources. This also allows for the PC to handle a 100% CPU usage and potential overload for some seconds without interrupting motion and G-code execution.</t>
  </si>
  <si>
    <t>Why can a slower, cheaper computer be used with the UC100 compared to a standard Mach3/LPT setup?</t>
  </si>
  <si>
    <t>Because the UC100 handles motion and G-code execution processing itself, allowing CPU overload for some seconds without interrupting motion or G-code execution</t>
  </si>
  <si>
    <t>The power output specified for the Truper Industrial circular saw is 1900 watts, and the blade diameter is 185 mm (7-1/4 inches).</t>
  </si>
  <si>
    <t>What power output and blade diameter are specified for the Truper Industrial circular saw?</t>
  </si>
  <si>
    <t>What is shown on the cover of the Lincoln Industrial EM-U2 Owner's Manual?</t>
  </si>
  <si>
    <t>The cover of the Lincoln Industrial EM-U2 Owner's Manual features a diagram of the valve, labeled with points A and B, and includes the Lincoln logo. The manual is identified by the part number 1.3A-28001-B97.</t>
  </si>
  <si>
    <t>What does the cover of the Dake Dura Press manual show?</t>
  </si>
  <si>
    <t>The cover of the Dake Dura Press manual shows a hydraulic press with a manual pump, labeled with the Dake logo and contact information.</t>
  </si>
  <si>
    <t>What does the DURA PRESS manual page emphasize regarding the manual itself?</t>
  </si>
  <si>
    <t xml:space="preserve"> The DURA PRESS manual page emphasizes the importance of keeping the manual in good condition and accessible for rapid reference in case of need or work.</t>
  </si>
  <si>
    <t xml:space="preserve"> What does the image of the UC100 controller show?</t>
  </si>
  <si>
    <t>The image shows an error message from a UC100 CNC motion controller, indicating that the UC100 is not responding. The message suggests checking the connection and restarting the Mach3 software. The interface is simple, with a red error icon and text instructions.</t>
  </si>
  <si>
    <t xml:space="preserve"> What components are visible on the UC100's circuit board?</t>
  </si>
  <si>
    <t xml:space="preserve"> I don't have enough information to answer this. The provided context does not describe the components visible on the UC100's circuit board.</t>
  </si>
  <si>
    <t>13.pdf (page 3), 13.pdf (page 5), 13.pdf (page 6), 13.pdf (page 3), 13.pdf (page 1)</t>
  </si>
  <si>
    <t>What does the image of electrical relays show?</t>
  </si>
  <si>
    <t>The image shows a collection of relays, each with multiple contacts and labeled with part numbers. These relays are depicted in a top-down view with their pins visible, and they are suggested to be used for switching or control purposes.</t>
  </si>
  <si>
    <t>What does the open electrical panel diagram show?</t>
  </si>
  <si>
    <t>The open electrical panel diagram shows various components such as circuit breakers, switches, relays, and other electrical devices mounted on a vertical panel. The panel is organized into sections, with labels and diagrams visible on the left side, indicating the functions or connections of the components. The wiring and connections are neatly arranged, suggesting a well-maintained electrical system, and the layout is structured, possibly for a commercial or industrial application</t>
  </si>
  <si>
    <t xml:space="preserve"> What is the recommended oil change interval for a diesel truck engine?</t>
  </si>
  <si>
    <t>What is the phone number for the local fire department?</t>
  </si>
  <si>
    <t>What programming language is used to build this AI system?</t>
  </si>
  <si>
    <t>What is the maximum altitude rating for commercial aircraft?</t>
  </si>
  <si>
    <t>What is the recommended screen resolution for the PLCViewer software interface?</t>
  </si>
  <si>
    <t>What color options are available for the Truper circular saw housing?</t>
  </si>
  <si>
    <t>What is the boiling point of water at sea level?</t>
  </si>
  <si>
    <t>What is the shipping cost to deliver this equipment?</t>
  </si>
  <si>
    <t>What is the exchange rate between USD and JPY?</t>
  </si>
  <si>
    <t>I don't have enough information to answer this</t>
  </si>
  <si>
    <t xml:space="preserve"> What must be done when the CN-33 relay is removed from the control panel?</t>
  </si>
  <si>
    <t xml:space="preserve"> When the CN-33 relay is removed from the control panel, the air switch must be open and the current transformer terminals on the terminal blocks must be short-circuited before the air switch is reclosed.</t>
  </si>
  <si>
    <t xml:space="preserve"> Is the Siemens R2.4 device's hardware and software continuously monitored?</t>
  </si>
  <si>
    <t>Yes, the Siemens R2.4 device's hardware, software, and external transformer circuits are continuously monitored.</t>
  </si>
  <si>
    <t>Actual Answer</t>
  </si>
  <si>
    <t>The shipping weight based on the number of poles is as follows:
- For 2 to 4 poles, the shipping weight is 5.17 lbs.
- For 6 to 8 poles, the shipping weight is 6.37 lbs.</t>
  </si>
  <si>
    <t>6.docx (Table 31)</t>
  </si>
  <si>
    <t xml:space="preserve"> If you get an E-07 fault, which indicates a drive overheat, you should clean the heatsink and check the airflow. Also, inspect and replace the cooling fan if it is not operating properly. Verify that the ambient temperature is within the specified range</t>
  </si>
  <si>
    <t xml:space="preserve"> VFD3000_Fault_Alarm_Codes.xlsx (Row 17-27), VFD_Fault_Alarm_Code_Table.xlsx (Row 2-16)</t>
  </si>
  <si>
    <t>The schematic diagram shows various components such as resistors, capacitors, and possibly transistors. It is labeled with part numbers and reference designators, typical in electrical engineering schematics. The layout suggests a complex circuit, possibly for a specific electronic application or project.</t>
  </si>
  <si>
    <t xml:space="preserve"> 7.pdf (page 20)</t>
  </si>
  <si>
    <t>The diagrams show various electrical panel components such as circuit breakers, switches, relays, and wiring connections. Some diagrams also include labels and part numbers to indicate specific functions and connections within the system.</t>
  </si>
  <si>
    <t>reduced vol.pdf (page 9), 7.pdf (page 24), 6.pdf (page 62), synchronous.pdf (page 2), 7.pdf (page 4)</t>
  </si>
  <si>
    <t xml:space="preserve"> Safety information shown in the diagrams includes warning symbols according to DIN 4844-W9 and DIN 4844-W8, indicating electrical hazards. The diagrams also provide safety-conscious working guidelines and emphasize the importance of following operating instructions and ensuring staff are adequately qualified and trained. Some specific symbols mentioned are "Danger," "Warning," and "Caution" to indicate potential hazards and risks associated with electrical equipment. Additionally, the placement of safety and identification labels on various parts of mechanical devices and hydraulic presses is highlighted, with warnings and cautions marked on different components.</t>
  </si>
  <si>
    <t xml:space="preserve"> 3.pdf (page 4), 9.pdf (page 2), 4 .pdf (page 9)</t>
  </si>
  <si>
    <t>The mounting diagram shows the dimensions and mounting details for a relay bracket used when mounting a relay from the front side of a panel. It includes measurements for the bracket's dimensions, clearance for screws, and the diameter of a boss hole.</t>
  </si>
  <si>
    <t>6.pdf (page 50)</t>
  </si>
  <si>
    <t>The grounding or earthing connections are illustrated in multiple diagrams. In the diagram from [SOURCE 1], star washers are noted for electrical contact, and a grounding point is mentioned. Similarly, in [SOURCE 2] and [SOURCE 3], grounding points are indicated. However, the specific details of the earthing arrangement, such as the use of star washers, are most clearly described in [SOURCE 1].</t>
  </si>
  <si>
    <t>ACT.pdf (page 9), 12.pdf (page 12)</t>
  </si>
  <si>
    <t>The diagram shows a sequence for controlling a motor through various components including switches, relays, and overload protection. It features labels for "STOP," "START," "TR," "RUN," "IS," "2S," and "OL'S," indicating different states and operations in the control circuit.</t>
  </si>
  <si>
    <t>reduced vol.pdf (page 13)</t>
  </si>
  <si>
    <t>The overload and short circuit protection selector is used to guide the selection of appropriate overload and short circuit protection devices. It provides information on the types of protection, such as thermal overload and mechanical overload, and helps in choosing the right protection mechanisms for different applications.
Sources: Circuit breaker.pdf (page 1)</t>
  </si>
  <si>
    <t xml:space="preserve"> Circuit breaker.pdf (page 1)</t>
  </si>
  <si>
    <t>It seems there was a misunderstanding in the question as the provided data does not contain any information related to fuel efficiency ratings. The data provided pertains to various parameters such as pressure, temperature, motor current, and speed for different equipment across various factory areas.
If you need information on fuel efficiency, please provide the relevant equipment ID or name and any specific context or area of the factory. The current data does not include fuel efficiency metrics.</t>
  </si>
  <si>
    <t>Fault code E-01 means Overcurrent (OC) during acceleration, which can be caused by motor overload, short circuit in motor cable, or acceleration time too short. The recommended actions include checking the motor and cabling for short circuits, increasing the acceleration time, and verifying the motor rated current matches the drive setting. This is a Critical fault.</t>
  </si>
  <si>
    <t>VFD3000_Fault_Alarm_Codes.xlsx (Row 2-16)</t>
  </si>
  <si>
    <t xml:space="preserve"> For an E-04 overvoltage fault during acceleration, you should verify that the incoming supply voltage is within the rated range and check for any power line disturbances. Additionally, you may need to increase the deceleration time (DEC parameter) or add or check the sizing of the braking resistor.</t>
  </si>
  <si>
    <t xml:space="preserve"> VFD3000_Fault_Alarm_Codes.xlsx (Row 2-16), VFD_Fault_Alarm_Code_Table.xlsx (Row 2-16), VFD3000_Fault_Alarm_Codes.xlsx (Row 17-27)</t>
  </si>
  <si>
    <t>An E-09 ground fault is caused by insulation breakdown in the motor winding or cable, or moisture ingress.</t>
  </si>
  <si>
    <t xml:space="preserve"> VFD3000_Fault_Alarm_Codes.xlsx (Row 2-16)</t>
  </si>
  <si>
    <t>The severity level of fault code E-12 is Warning.</t>
  </si>
  <si>
    <t>Fault code E-15 indicates that the encoder feedback loss has occurred. This could be due to the encoder cable being disconnected or damaged, or an encoder failure itself. It is recommended to check the encoder cable connections and shielding, verify the encoder power supply voltage, and replace the encoder if it is faulty.</t>
  </si>
  <si>
    <t>VFD3000_Fault_Alarm_Codes.xlsx (Row 17-27)</t>
  </si>
  <si>
    <t>You should check all three input phases with a meter, inspect and replace input fuses if necessary, and verify the supply connections at the breaker. This will help to identify and resolve the issue causing the input phase loss fault.</t>
  </si>
  <si>
    <t>An E-18 CPU fault indicates an internal control board fault or electrical noise causing a processor reset. The recommended actions are to cycle power to the drive, check for nearby noise sources such as contactors and VFDs without proper shielding, and replace the control board if the error persists.</t>
  </si>
  <si>
    <t xml:space="preserve"> VFD3000_Fault_Alarm_Codes.xlsx (Row 17-27)</t>
  </si>
  <si>
    <t>The fault codes classified as Critical severity are:
- E-01: Overcurrent (OC) during acceleration
- E-02: Overcurrent (OC) during deceleration
- E-03: Overcurrent (OC) during constant speed
- E-04: Overvoltage (OV) during acceleration
- E-05: Overvoltage (OV) during deceleration
- E-07: Drive overheat (OH1)
- E-09: Ground fault (GF)
- E-10: Input phase loss (PF)
- E-11: Output phase loss (LF)
- E-12: Communication timeout (CE)
- E-15: Encoder feedback loss (EnF)
- E-16: Braking resistor overload (brH)</t>
  </si>
  <si>
    <t>Not found</t>
  </si>
  <si>
    <t>The recommended action for an E-16 braking resistor overload is not explicitly stated in the provided context. Therefore, based on the information given:</t>
  </si>
  <si>
    <t>N\A</t>
  </si>
  <si>
    <t>Fault code E-06 undervoltage indicates that the input power is too low, a phase is missing, or the incoming supply is unstable. To address this issue, check the incoming line voltage and connections, and verify the transformer sizing for the drive load.</t>
  </si>
  <si>
    <t xml:space="preserve"> VFD3000_Fault_Alarm_Codes.xlsx (Row 2-16), Factory_Maintenance_Equipment_Master_Manual_20_Pages.docx (Table 6)</t>
  </si>
  <si>
    <t xml:space="preserve"> The likely cause of an E-11 output phase loss fault is an open motor lead or motor winding failure.</t>
  </si>
  <si>
    <t>The recommended action for an E-08 motor overload fault is to reduce the load or verify the motor sizing; check the motor overload (thermal) parameter setting to match the nameplate current.</t>
  </si>
  <si>
    <t xml:space="preserve"> VFD3000_Fault_Alarm_Codes.xlsx (Row 2-16), VFD_Fault_Alarm_Code_Table.xlsx (Row 17-21)</t>
  </si>
  <si>
    <t>The severity level for fault code E-17 (low output current / auto-tuning failure) is Info.</t>
  </si>
  <si>
    <t>The catalog number for the 0.25% AC Voltage Transducer is CLE-201001.</t>
  </si>
  <si>
    <t>12.pdf (page 2)</t>
  </si>
  <si>
    <t>The accuracy rating of the 0.25% AC Voltage Transducer is ±0.25% of Rated Output.</t>
  </si>
  <si>
    <t>The recommended use for the transducer with a Square D Transducer Relay (PR-101-TR and PR-201-TR) is to use the transducer with these relays for remote control functions.</t>
  </si>
  <si>
    <t>12.pdf (page 13), 12.pdf (page 2)</t>
  </si>
  <si>
    <t>For Square D Field Services, you should call 1-800-634-2003.</t>
  </si>
  <si>
    <t>9.pdf (page 11), 9.pdf (page 5)</t>
  </si>
  <si>
    <t xml:space="preserve"> The safety warning for the Digital Temperature Controller covers hazards of electric shock, burn, or explosion.</t>
  </si>
  <si>
    <t>9.pdf (page 6)</t>
  </si>
  <si>
    <t>Before touching the terminal of a de-energized dry type transformer, it is always advisable to assume that the terminal is energized and check it with a properly rated meter to ensure it is de-energized and grounded.</t>
  </si>
  <si>
    <t xml:space="preserve"> 9.pdf (page 6), h.pdf (page 1)</t>
  </si>
  <si>
    <t xml:space="preserve"> Class 8965 Valve Contactor devices utilize molded case coils.</t>
  </si>
  <si>
    <t xml:space="preserve"> hoist.pdf (page 3)</t>
  </si>
  <si>
    <t>Class 8965 Valve Contactors are designed for use on motorized valve actuators.</t>
  </si>
  <si>
    <t>hoist.pdf (page 3), hoist.pdf (page 2)</t>
  </si>
  <si>
    <t xml:space="preserve"> Auxiliary interlocks are available on all 8965 contactors, except those with normally closed power poles. These interlocks can be any combination of NO or NC, and a total of 4 single circuit auxiliary contacts can be obtained on the entire contactor (2 contacts for each individual contactor).</t>
  </si>
  <si>
    <t>The integrated equipment rating establishes several key points for I-LINE Power Panelboards:
- It verifies the safety of the physical bracing of the bus system.
- It proves the breaker interrupting rating with the breakers installed on the bus assembly.
- It affirms the ability of the line side bus and the insulation assembly to withstand any ionized gases discharged from a branch circuit breaker during a short circuit interruption without causing a line side phase-to-phase arc on the busbar assembly.
- It ensures that any arrangement of branch circuit breakers can be made safely, regardless of frame sizes.
- It confirms that the complete I-LINE Power Panelboard, with branch circuit breakers installed, has successfully passed heat rise tests in accordance with UL procedures.</t>
  </si>
  <si>
    <t>i-line.pdf (page 4)</t>
  </si>
  <si>
    <t>The integrated equipment rating confirms that the line side bus and the insulation assembly can withstand any ionized gases discharged from a branch circuit breaker during a short circuit interruption without causing a line side phase-to-phase arc on the busbar assembly.</t>
  </si>
  <si>
    <t xml:space="preserve"> i-line.pdf (page 4)</t>
  </si>
  <si>
    <t xml:space="preserve"> The single vertical stack of busbars makes the integrated equipment rating possible on I-LINE panelboards.</t>
  </si>
  <si>
    <t xml:space="preserve">What are Class 8822 reduced voltage autotransformer type synchronous starters used for?
</t>
  </si>
  <si>
    <t xml:space="preserve"> Class 8822 reduced voltage autotransformer type synchronous starters are used whenever it is necessary to limit either the motor inrush or the motor torque on starting.</t>
  </si>
  <si>
    <t>synchronous.pdf (page 3)</t>
  </si>
  <si>
    <t xml:space="preserve"> The I-LINE Power Panelboard is described as providing unparalleled personnel safety. It features "dead front" protection, where the panelboard remains safe even when trimmed, and has a captive hinged lug cover to prevent accidental contact with main lugs. Additionally, the busbar insulators are designed to be wide, further enhancing safety. The panelboard also includes safety features for interior installation, such as properly-spaced holes for lifting and a secure means of supporting the interior during installation. The main breaker compartment is also barrier-enclosed for additional safety.</t>
  </si>
  <si>
    <t>i-line.pdf (page 5), i-line.pdf (page 7)</t>
  </si>
  <si>
    <t xml:space="preserve"> The I-LINE busbars are made from plated busbars and are arranged in a single vertical stack. Molded polyester glass insulators separate and continuously support each busbar, with larger polyester glass insulators placed at the bottom of each stack.</t>
  </si>
  <si>
    <t xml:space="preserve"> i-line.pdf (page 4), i-line.pdf (page 5)</t>
  </si>
  <si>
    <t>The Overload and Short Circuit Protection Selector guide covers several document sections including "Description," "Application Data," "Thermal Unit Selections," "Relays," "Maximum and Recommended Fuse Selections," and "Branch Circuit Protection — Circuit Breakers."</t>
  </si>
  <si>
    <t>Circuit breaker.pdf (page 1), Circuit breaker.pdf (page 25), Circuit breaker.pdf (page 27)</t>
  </si>
  <si>
    <t xml:space="preserve"> The UC100 controller uses a B-25 female connection interface to interface with the environment, which has the same pinout as a printer port.</t>
  </si>
  <si>
    <t>13.pdf (page 3)</t>
  </si>
  <si>
    <t>13.pdf (page 4)</t>
  </si>
  <si>
    <t>The UC100 controller can replace an LPT port on an existing system by simply plugging the controller into the USB port of the PC and then plugging the DSUB25 cable, which was originally connected to the LPT port, into the UC100 controller's DSUB-25 port.</t>
  </si>
  <si>
    <t>Fault code E-01 means "Overcurrent (OC) during acceleration." The likely cause is motor overload, short circuit in motor cable, or acceleration time too short. To address this issue, one should check the motor and cabling for short circuits, increase the acceleration time, and ensure the motor rated current matches the drive setting. This fault is classified as Critical.</t>
  </si>
  <si>
    <t xml:space="preserve"> For an E-04 overvoltage fault during acceleration, you should verify that the incoming supply voltage is within the rated range and check for any power line disturbances.</t>
  </si>
  <si>
    <t xml:space="preserve"> VFD3000_Fault_Alarm_Codes.xlsx (Row 2-16), VFD3000_Fault_Alarm_Codes.xlsx (Row 17-27)</t>
  </si>
  <si>
    <t xml:space="preserve"> The severity level of fault code E-12 is Warning.</t>
  </si>
  <si>
    <t>Fault code E-15 indicates an encoder feedback loss. This can be caused by a disconnected or damaged encoder cable, or an encoder failure. The recommended actions include checking the encoder cable connections and shielding, verifying the encoder power supply voltage, and replacing the encoder if it is faulty.</t>
  </si>
  <si>
    <t xml:space="preserve"> If you get an E-10 input phase loss fault, you should check all three input phases with a meter, inspect and replace input fuses if necessary, and verify the supply connections at the breaker.</t>
  </si>
  <si>
    <t>VFD3000_Fault_Alarm_Codes.xlsx (Row 2-16), 12.pdf (page 15)</t>
  </si>
  <si>
    <t xml:space="preserve"> An E-18 CPU fault, also known as a CPU or internal watchdog fault, is caused by an internal control board fault or electrical noise causing processor reset. The recommended action is to cycle power to the drive, check for nearby noise sources such as contactors or VFDs without proper shielding, and replace the control board if the fault recurs.</t>
  </si>
  <si>
    <t xml:space="preserve"> What is the price of Modification 3 for a 35 HP motor</t>
  </si>
  <si>
    <t>he price of Modification 3 for a 35 HP motor is $776.</t>
  </si>
  <si>
    <t xml:space="preserve"> $776.</t>
  </si>
  <si>
    <t xml:space="preserve"> 7.pdf (page 20), 7.pdf (page 8)</t>
  </si>
  <si>
    <t>Which modification has the same price for all four HP ratings?</t>
  </si>
  <si>
    <t>The modification that has the same price for all four HP ratings is "Substitute Circuit Breakers for Main Line and Control Circuit Knife Switches" (modification 2), which costs $400 for all ratings.</t>
  </si>
  <si>
    <t>"Substitute Circuit Breakers for Main Line and Control Circuit Knife Switches" (modification 2), which costs $400 for all ratings.</t>
  </si>
  <si>
    <t>7.pdf (page 20)</t>
  </si>
  <si>
    <t>Modification 25 (Shunt Brake Relay) costs $368, while Modification 3 (Additional Acceleration Point) has different costs based on the HP rating: $776 for 55 HP. Therefore, Modification 3 is more expensive than Modification 25 by $408.</t>
  </si>
  <si>
    <t>For a 55 HP motor, compare the costs of Modification 3 and Modification 25. Which is more expensive and by how much?</t>
  </si>
  <si>
    <t>Compare CLE-203451 and CLE-203452. What is the major difference in their output type?</t>
  </si>
  <si>
    <t xml:space="preserve"> The major difference in the output type between CLE-203451 and CLE-203452 is not explicitly stated in the provided context. However, based on the context, both are listed under Frequency Transducers, which suggests they may have similar output types related to frequency. Without specific details on their output types, no definitive comparison can be made.</t>
  </si>
  <si>
    <t>both are listed under Frequency Transducers, which suggests they may have similar output types related to frequency.</t>
  </si>
  <si>
    <t>12.pdf (page 11)</t>
  </si>
  <si>
    <t>In Figure 1: Front View of XP-400 Automated X-Press at the front veiw Which component is used to release hydraulic pressure during an emergency?</t>
  </si>
  <si>
    <t>The manual pressure relief valve is used to release hydraulic pressure during an emergency.</t>
  </si>
  <si>
    <t xml:space="preserve"> The manual pressure relief valve is used to release hydraulic pressure during an emergency.</t>
  </si>
  <si>
    <t>The power output specified for the Truper Industrial circular saw is 1900 watts, and the blade diameter is 185 mm (7-1/4 inches)</t>
  </si>
  <si>
    <t>The cover of the Lincoln Industrial EM-U2 Owner's Manual features a diagram of the valve, labeled with points A and B, and includes the Lincoln logo.</t>
  </si>
  <si>
    <t>3.pdf (page 2)</t>
  </si>
  <si>
    <t>2.pdf (page 2), 2.pdf (page 18), 2.pdf (page 16), 2.pdf (page 4)</t>
  </si>
  <si>
    <t>8.pdf (page 8), 8.pdf (page 23)</t>
  </si>
  <si>
    <t>The cover of the Dake Dura Press manual shows a hydraulic press with a manual pump, labeled with the Dake logo and contact information. It also includes fields for Model No. and Serial No., and is dated 06/10.</t>
  </si>
  <si>
    <t>4 .pdf (page 2)</t>
  </si>
  <si>
    <t>The DURA PRESS manual emphasizes the importance of keeping the manual accessible and in good condition for rapid reference in case of need or work. It also advises conducting checks and maintenance to ensure the safety of operators and maintaining records of these activities.</t>
  </si>
  <si>
    <t>4 .pdf (page 3), 4 .pdf (page 7)</t>
  </si>
  <si>
    <t xml:space="preserve"> The image shows a UC100 CNC motion controller with features such as a DB9 connector on the left and a USB cable on the right. It also displays an error message indicating that the UC100 has not been found, suggesting to check the connections.</t>
  </si>
  <si>
    <t xml:space="preserve"> 13.pdf (page 2), 13.pdf (page 1), 13.pdf (page 7)</t>
  </si>
  <si>
    <t>The image shows electrical relays with multiple contacts and terminals. These relays are commonly used in electrical and electronic circuits for switching and control applications.</t>
  </si>
  <si>
    <t>hoist.pdf (page 2)</t>
  </si>
  <si>
    <t xml:space="preserve"> The open electrical panel diagram shows an electrical panel with multiple circuit breakers and switches. The layout suggests a complex electrical system, possibly for a commercial or industrial application. Labels and diagrams are visible on the left side, providing reference or indicating the functions or connections of the components. The components are arranged in a structured manner, with wiring and connections neatly organized.</t>
  </si>
  <si>
    <t xml:space="preserve"> reduced vol.pdf (page 9), 7.pdf (page 4), 7.pdf (page 24)</t>
  </si>
  <si>
    <t xml:space="preserve"> When the CN-33 relay is removed from the control panel, the air switch must be open, and the current transformer terminals on the terminal blocks must be short-circuited before the air switch is reclosed.</t>
  </si>
  <si>
    <t>10.pdf (page 1), 10.pdf (page 11)</t>
  </si>
  <si>
    <t>seimens.pdf (page 1)</t>
  </si>
  <si>
    <t>The UC100's DSP core benefits CNC motion control by making interpolations and other timings much more precise compared to what Mach3 could do using its standard LPT port driver. Additionally, since time-critical tasks are handled by the UC100 controller rather than the PC, the PC's CPU time usage is significantly reduced, lowering the risk of overloading the PC resources. The UC100 can handle a 100% CPU usage and overload for some seconds without interrupting the motion and G-code execution.</t>
  </si>
  <si>
    <t xml:space="preserve"> A slower, cheaper computer can be used with the UC100 compared to a standard Mach3/LPT setup because the UC100 handles time-critical tasks on its own high-speed DSP control chip, reducing the processor load on the PC. This design allows for lower CPU usage and a reduced risk of system overload, even when the PC is running other software in the background.</t>
  </si>
  <si>
    <t xml:space="preserve"> The purpose of a process signal amplifier is to convert a 0-1 mA dc or 0-10 V dc transducer output into a standard process signal output of 1-5 mA dc, 4-20 mA dc, or 10-50 mA dc, which can be used to meet the input signal requirements of recorders, process controllers, and signal conditioners. It is designed for industrial applications and is intended to transmit signals accurately over long distances with minimal loss in accuracy, despite load variations.</t>
  </si>
  <si>
    <t xml:space="preserve"> What is the purpose of a process signal amplifier?</t>
  </si>
  <si>
    <t>12.pdf (page 8)</t>
  </si>
  <si>
    <t>What are phase-angle transducers used for?</t>
  </si>
  <si>
    <t xml:space="preserve"> Phase-angle transducers are used for monitoring the phase angle difference between voltage and current in AC power systems, which is directly related to power factor. They can indicate whether the power factor is lagging or leading and are useful in various applications such as energy management systems, motor and power control circuits, and remote control functions with transducer relays.</t>
  </si>
  <si>
    <t xml:space="preserve"> used for monitoring the phase angle difference between voltage and current in AC power systems, which is directly related to power factor. They can indicate whether the power factor is lagging or leading and are useful in various applications such as energy management systems, motor and power control circuits, and remote control functions with transducer relays.</t>
  </si>
  <si>
    <t>12.pdf (page 10)</t>
  </si>
  <si>
    <t xml:space="preserve"> The recommended use for the transducer with a Square D Transducer Relay is for remote control functions, specifically with PR-101-TR and PR-201-TR relays. Additionally, transducers can be used for detecting over and under frequency, over and under current, or over and under voltage, depending on the type of transducer used.</t>
  </si>
  <si>
    <t>Technical information such as specifications, measurements, and approvals are commonly provided through tables in these documents. For instance, mechanical specifications and approvals for the Model 98 Digital Temperature Controller are detailed in tables within the technical manual. Similarly, selection tables for electrical fuses and circuit breakers, including motor full-load current, thermal unit number, and maximum fuse rating, are provided in the documents from the Square D Company</t>
  </si>
  <si>
    <t xml:space="preserve"> What types of technical information are commonly provided through tables in these documents?</t>
  </si>
  <si>
    <t xml:space="preserve"> Circuit breaker.pdf (page 50), 9.pdf (page 18)</t>
  </si>
  <si>
    <t>Resistors in crane control are used to limit the speed of the crane, specifically designed for light, standard, or severe duty based on the class. For instance, Class 152 is recommended for light crane duty, and Class 162 for standard crane duty. Additionally, they are used in dynamic braking scenarios, with Class 9004 resistors like CG-8, AG-9, and VG-9 serving as master switches in the system.
Transducers in electrical measurement, on the other hand, convert non-electrical quantities such as pressure, temperature, or force into electrical signals. They play a role in measuring and indicating these physical quantities. In the context provided, transducers are used to provide control signals, where the operation of relays is determined by the control signal's current. For example, a 1.0 rnA control signal causes all three transducer relays to operate, while a 0.0 rnA signal allows only one relay to operate.</t>
  </si>
  <si>
    <t xml:space="preserve"> 7.pdf (page 19), 7.pdf (page 7), 12.pdf (page 14)</t>
  </si>
  <si>
    <t xml:space="preserve"> Compare the role of resistors in crane control with the role of transducers in electrical measurement.</t>
  </si>
  <si>
    <t>Before touching the terminal of a de-energized dry type transformer, it is necessary to verify that the terminal is de-energized and grounded using a properly rated meter.</t>
  </si>
  <si>
    <t>9.pdf (page 6), h.pdf (page 1)</t>
  </si>
  <si>
    <t>What is the purpose of the high-speed module slot in the Switch 3300 FX?</t>
  </si>
  <si>
    <t xml:space="preserve"> The high-speed module slot in the SuperStack II Switch 3300 FX allows for the addition of high-speed modules, enhancing its functionality, although this feature is not available on the 3300 XM model.</t>
  </si>
  <si>
    <t>14.pdf (page 11)</t>
  </si>
  <si>
    <t xml:space="preserve"> The purpose of TAB-WELD resistors in the crane control system is to help control the motor's operation, particularly in managing the armature shunt and providing necessary resistances for different service types such as normal operation and emergency braking. These resistors are used alongside controllers to form a complete set of motor control equipment.</t>
  </si>
  <si>
    <t>What is the purpose of TAB-WELD resistors in the crane control system?</t>
  </si>
  <si>
    <t xml:space="preserve"> 7.pdf (page 19), 7.pdf (page 7), 7.pdf (page 5)</t>
  </si>
  <si>
    <t xml:space="preserve"> Why is the test block provided in the XP-400?</t>
  </si>
  <si>
    <t xml:space="preserve"> The test block is provided to allow for a test run to verify that the equipment is functioning correctly before actual sample preparation. This helps ensure that the press is set up properly and ready for use without damaging actual samples.</t>
  </si>
  <si>
    <t>8.pdf (page 15)</t>
  </si>
  <si>
    <t>he dimensional drawings of the transducers provide precise measurements and specifications. For example, the drawings indicate that certain dimensions are 3.50 (likely in inches or millimeters) and 5.24 (also likely in inches or millimeters). These measurements are crucial for manufacturing and ensuring the correct assembly of the transducers. Additionally, the drawings show the layout of holes and other components, which are essential for understanding the physical structure and connectivity of the transducers.</t>
  </si>
  <si>
    <t xml:space="preserve"> 12.pdf (page 12)</t>
  </si>
  <si>
    <t>What information is provided by the dimensional drawings of the transducers?</t>
  </si>
  <si>
    <t>What are the major components of a standard single-motor crane controller?</t>
  </si>
  <si>
    <t>The major components of a standard single-motor crane controller include:
- Two pole fused control circuit knife switch (CSW)
- Two pole unfused main line knife switch with padlock clip (LSW)
- Four Type M single pole contactors with mechanical interlocks (1F, 2F, 1L, 2L) for hoisting and lowering circuits
- One Type M single pole negative line contactor (M)
- Four or five Type M single pole acceleration contactors (1A, 2A, 3A, P)
- Three or four Type ST-1 static acceleration timers (1AR, 2AR, 3AR, 4AR) for hoisting and lowering
- One Type KP rectifier-plugging relay (PR)
- One undervoltage relay (UV)
- Two magnetic overload relays (one instantaneous and one inverse time) (10L, 20L)</t>
  </si>
  <si>
    <t>The major components of a standard single-motor crane controller include:</t>
  </si>
  <si>
    <t>7.pdf (page 6), 7.pdf (page 4), 7.pdf (page 18)</t>
  </si>
  <si>
    <t>What is the function of the manual pressure relief valve in the XP-400?</t>
  </si>
  <si>
    <t>The manual pressure relief valve in the XP-400 X-Press can be used to manually relieve pressure in the hydraulic system in the event of an emergency or for maintenance. It is located on the right side of the unit and can be opened by turning its handle counterclockwise.</t>
  </si>
  <si>
    <t>8.pdf (page 24), 8.pdf (page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</si>
</sst>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sz val="10"/>
      <name val="Arial"/>
      <family val="2"/>
    </font>
    <font>
      <b/>
      <sz val="10"/>
      <color rgb="FFFFFFFF"/>
      <name val="Arial"/>
      <family val="2"/>
    </font>
    <font>
      <sz val="10"/>
      <name val="Arial"/>
      <family val="2"/>
    </font>
    <font>
      <sz val="10"/>
      <name val="Noto Sans CJK SC"/>
      <family val="2"/>
      <charset val="1"/>
    </font>
    <font>
      <sz val="10"/>
      <name val="Arial"/>
      <family val="2"/>
      <charset val="1"/>
    </font>
    <font>
      <b/>
      <sz val="13"/>
      <name val="Arial"/>
      <family val="2"/>
    </font>
    <font>
      <b/>
      <sz val="11"/>
      <color rgb="FFFFFFFF"/>
      <name val="Arial"/>
      <family val="2"/>
    </font>
    <font>
      <b/>
      <sz val="11"/>
      <name val="Arial"/>
      <family val="2"/>
    </font>
    <font>
      <b/>
      <sz val="10"/>
      <color theme="0"/>
      <name val="Arial"/>
      <family val="2"/>
    </font>
    <font>
      <sz val="10"/>
      <color rgb="FF0B0B0B"/>
      <name val="Arial"/>
      <family val="2"/>
    </font>
  </fonts>
  <fills count="11">
    <fill>
      <patternFill patternType="none"/>
    </fill>
    <fill>
      <patternFill patternType="gray125"/>
    </fill>
    <fill>
      <patternFill patternType="solid">
        <fgColor rgb="FF2F5597"/>
        <bgColor rgb="FF666699"/>
      </patternFill>
    </fill>
    <fill>
      <patternFill patternType="solid">
        <fgColor rgb="FFF2F2F2"/>
        <bgColor rgb="FFE2EFDA"/>
      </patternFill>
    </fill>
    <fill>
      <patternFill patternType="solid">
        <fgColor theme="1" tint="0.34998626667073579"/>
        <bgColor rgb="FF666699"/>
      </patternFill>
    </fill>
    <fill>
      <patternFill patternType="solid">
        <fgColor theme="1" tint="0.34998626667073579"/>
        <bgColor indexed="64"/>
      </patternFill>
    </fill>
    <fill>
      <patternFill patternType="solid">
        <fgColor theme="0" tint="-4.9989318521683403E-2"/>
        <bgColor rgb="FFF2F2F2"/>
      </patternFill>
    </fill>
    <fill>
      <patternFill patternType="solid">
        <fgColor theme="0" tint="-4.9989318521683403E-2"/>
        <bgColor rgb="FF666699"/>
      </patternFill>
    </fill>
    <fill>
      <patternFill patternType="solid">
        <fgColor theme="0" tint="-4.9989318521683403E-2"/>
        <bgColor indexed="64"/>
      </patternFill>
    </fill>
    <fill>
      <patternFill patternType="solid">
        <fgColor theme="0" tint="-4.9989318521683403E-2"/>
        <bgColor rgb="FFE2EFDA"/>
      </patternFill>
    </fill>
    <fill>
      <patternFill patternType="solid">
        <fgColor theme="0" tint="-4.9989318521683403E-2"/>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30">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6" fillId="0" borderId="0" xfId="0" applyFont="1"/>
    <xf numFmtId="0" fontId="7" fillId="2" borderId="0" xfId="0" applyFont="1" applyFill="1" applyAlignment="1">
      <alignment horizontal="center" vertical="center" wrapText="1"/>
    </xf>
    <xf numFmtId="0" fontId="8"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0" fillId="5" borderId="0" xfId="0" applyFill="1"/>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0" fillId="8" borderId="0" xfId="0" applyFill="1"/>
    <xf numFmtId="0" fontId="4" fillId="6" borderId="1" xfId="0" applyFont="1" applyFill="1" applyBorder="1" applyAlignment="1">
      <alignment horizontal="left" vertical="top"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top"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top"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top" wrapText="1"/>
    </xf>
    <xf numFmtId="0" fontId="1" fillId="9" borderId="2" xfId="0" applyFont="1" applyFill="1" applyBorder="1" applyAlignment="1">
      <alignment horizontal="left" vertical="top" wrapText="1"/>
    </xf>
    <xf numFmtId="0" fontId="1" fillId="0" borderId="1" xfId="0" applyFont="1" applyBorder="1" applyAlignment="1">
      <alignment horizontal="left" vertical="top" wrapText="1"/>
    </xf>
    <xf numFmtId="0" fontId="1" fillId="9"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0" borderId="0" xfId="0" applyFont="1"/>
    <xf numFmtId="0" fontId="1" fillId="6"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8"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zoomScaleNormal="100" workbookViewId="0">
      <pane ySplit="1" topLeftCell="A95" activePane="bottomLeft" state="frozen"/>
      <selection pane="bottomLeft" activeCell="G100" sqref="G100"/>
    </sheetView>
  </sheetViews>
  <sheetFormatPr defaultColWidth="8.6328125" defaultRowHeight="14.5"/>
  <cols>
    <col min="1" max="1" width="5" customWidth="1"/>
    <col min="2" max="2" width="12" customWidth="1"/>
    <col min="3" max="3" width="42" customWidth="1"/>
    <col min="4" max="4" width="42.7265625" customWidth="1"/>
    <col min="5" max="5" width="24" customWidth="1"/>
    <col min="6" max="6" width="9" hidden="1" customWidth="1"/>
    <col min="7" max="7" width="14" customWidth="1"/>
    <col min="8" max="8" width="26" customWidth="1"/>
  </cols>
  <sheetData>
    <row r="1" spans="1:8" s="7" customFormat="1" ht="24" customHeight="1">
      <c r="A1" s="6" t="s">
        <v>0</v>
      </c>
      <c r="B1" s="6" t="s">
        <v>1</v>
      </c>
      <c r="C1" s="6" t="s">
        <v>2</v>
      </c>
      <c r="D1" s="6" t="s">
        <v>3</v>
      </c>
      <c r="E1" s="6" t="s">
        <v>4</v>
      </c>
      <c r="F1" s="6"/>
      <c r="G1" s="6" t="s">
        <v>5</v>
      </c>
      <c r="H1" s="6" t="s">
        <v>164</v>
      </c>
    </row>
    <row r="2" spans="1:8" s="11" customFormat="1" ht="33.75" customHeight="1">
      <c r="A2" s="8">
        <v>2</v>
      </c>
      <c r="B2" s="9" t="s">
        <v>6</v>
      </c>
      <c r="C2" s="9" t="s">
        <v>7</v>
      </c>
      <c r="D2" s="9" t="s">
        <v>8</v>
      </c>
      <c r="E2" s="26" t="s">
        <v>166</v>
      </c>
      <c r="F2" s="10"/>
      <c r="G2" s="8" t="s">
        <v>9</v>
      </c>
      <c r="H2" s="26" t="s">
        <v>165</v>
      </c>
    </row>
    <row r="3" spans="1:8" s="11" customFormat="1" ht="33.75" customHeight="1">
      <c r="A3" s="8">
        <v>3</v>
      </c>
      <c r="B3" s="9" t="s">
        <v>6</v>
      </c>
      <c r="C3" s="26" t="s">
        <v>10</v>
      </c>
      <c r="D3" s="9" t="s">
        <v>11</v>
      </c>
      <c r="E3" s="26" t="s">
        <v>168</v>
      </c>
      <c r="F3" s="8">
        <v>0</v>
      </c>
      <c r="G3" s="8" t="s">
        <v>9</v>
      </c>
      <c r="H3" s="26" t="s">
        <v>167</v>
      </c>
    </row>
    <row r="4" spans="1:8" s="11" customFormat="1" ht="33.75" customHeight="1">
      <c r="A4" s="8">
        <v>4</v>
      </c>
      <c r="B4" s="9" t="s">
        <v>12</v>
      </c>
      <c r="C4" s="26" t="s">
        <v>13</v>
      </c>
      <c r="D4" s="9" t="s">
        <v>14</v>
      </c>
      <c r="E4" s="26" t="s">
        <v>170</v>
      </c>
      <c r="F4" s="8">
        <v>0</v>
      </c>
      <c r="G4" s="8" t="s">
        <v>9</v>
      </c>
      <c r="H4" s="26" t="s">
        <v>169</v>
      </c>
    </row>
    <row r="5" spans="1:8" s="11" customFormat="1" ht="33.75" customHeight="1">
      <c r="A5" s="8">
        <v>5</v>
      </c>
      <c r="B5" s="9" t="s">
        <v>12</v>
      </c>
      <c r="C5" s="26" t="s">
        <v>15</v>
      </c>
      <c r="D5" s="9" t="s">
        <v>16</v>
      </c>
      <c r="E5" s="26" t="s">
        <v>172</v>
      </c>
      <c r="F5" s="8">
        <v>0</v>
      </c>
      <c r="G5" s="8" t="s">
        <v>9</v>
      </c>
      <c r="H5" s="26" t="s">
        <v>171</v>
      </c>
    </row>
    <row r="6" spans="1:8" s="11" customFormat="1" ht="33.75" customHeight="1">
      <c r="A6" s="8">
        <v>6</v>
      </c>
      <c r="B6" s="9" t="s">
        <v>12</v>
      </c>
      <c r="C6" s="26" t="s">
        <v>17</v>
      </c>
      <c r="D6" s="9" t="s">
        <v>18</v>
      </c>
      <c r="E6" s="26" t="s">
        <v>174</v>
      </c>
      <c r="F6" s="8">
        <v>4</v>
      </c>
      <c r="G6" s="8" t="s">
        <v>9</v>
      </c>
      <c r="H6" s="26" t="s">
        <v>173</v>
      </c>
    </row>
    <row r="7" spans="1:8" s="11" customFormat="1" ht="33.75" customHeight="1">
      <c r="A7" s="8">
        <v>7</v>
      </c>
      <c r="B7" s="9" t="s">
        <v>12</v>
      </c>
      <c r="C7" s="26" t="s">
        <v>19</v>
      </c>
      <c r="D7" s="9" t="s">
        <v>20</v>
      </c>
      <c r="E7" s="26" t="s">
        <v>176</v>
      </c>
      <c r="F7" s="8">
        <v>2</v>
      </c>
      <c r="G7" s="8" t="s">
        <v>9</v>
      </c>
      <c r="H7" s="26" t="s">
        <v>175</v>
      </c>
    </row>
    <row r="8" spans="1:8" s="11" customFormat="1" ht="33.75" customHeight="1">
      <c r="A8" s="8">
        <v>8</v>
      </c>
      <c r="B8" s="9" t="s">
        <v>12</v>
      </c>
      <c r="C8" s="9" t="s">
        <v>21</v>
      </c>
      <c r="D8" s="9" t="s">
        <v>22</v>
      </c>
      <c r="E8" s="26" t="s">
        <v>178</v>
      </c>
      <c r="F8" s="8">
        <v>9</v>
      </c>
      <c r="G8" s="8" t="s">
        <v>9</v>
      </c>
      <c r="H8" s="26" t="s">
        <v>177</v>
      </c>
    </row>
    <row r="9" spans="1:8" s="11" customFormat="1" ht="33.75" customHeight="1">
      <c r="A9" s="8">
        <v>9</v>
      </c>
      <c r="B9" s="9" t="s">
        <v>12</v>
      </c>
      <c r="C9" s="9" t="s">
        <v>23</v>
      </c>
      <c r="D9" s="9" t="s">
        <v>24</v>
      </c>
      <c r="E9" s="26" t="s">
        <v>180</v>
      </c>
      <c r="F9" s="8">
        <v>13</v>
      </c>
      <c r="G9" s="8" t="s">
        <v>9</v>
      </c>
      <c r="H9" s="26" t="s">
        <v>179</v>
      </c>
    </row>
    <row r="10" spans="1:8" s="11" customFormat="1" ht="33.75" customHeight="1">
      <c r="A10" s="8">
        <v>10</v>
      </c>
      <c r="B10" s="9" t="s">
        <v>12</v>
      </c>
      <c r="C10" s="12" t="s">
        <v>25</v>
      </c>
      <c r="D10" s="9" t="s">
        <v>26</v>
      </c>
      <c r="E10" s="9" t="s">
        <v>27</v>
      </c>
      <c r="F10" s="8">
        <v>2</v>
      </c>
      <c r="G10" s="8" t="s">
        <v>9</v>
      </c>
      <c r="H10" s="9" t="s">
        <v>28</v>
      </c>
    </row>
    <row r="11" spans="1:8" s="11" customFormat="1" ht="33.75" customHeight="1">
      <c r="A11" s="8">
        <v>11</v>
      </c>
      <c r="B11" s="9" t="s">
        <v>12</v>
      </c>
      <c r="C11" s="12" t="s">
        <v>29</v>
      </c>
      <c r="D11" s="9" t="s">
        <v>30</v>
      </c>
      <c r="E11" s="9" t="s">
        <v>31</v>
      </c>
      <c r="F11" s="8">
        <v>5</v>
      </c>
      <c r="G11" s="8" t="s">
        <v>9</v>
      </c>
      <c r="H11" s="9" t="s">
        <v>32</v>
      </c>
    </row>
    <row r="12" spans="1:8" s="11" customFormat="1" ht="33.75" customHeight="1">
      <c r="A12" s="8">
        <v>12</v>
      </c>
      <c r="B12" s="9" t="s">
        <v>33</v>
      </c>
      <c r="C12" s="9" t="s">
        <v>34</v>
      </c>
      <c r="D12" s="9" t="s">
        <v>35</v>
      </c>
      <c r="E12" s="26" t="s">
        <v>182</v>
      </c>
      <c r="F12" s="8">
        <v>1</v>
      </c>
      <c r="G12" s="8" t="s">
        <v>9</v>
      </c>
      <c r="H12" s="26" t="s">
        <v>181</v>
      </c>
    </row>
    <row r="13" spans="1:8" s="11" customFormat="1" ht="33.75" customHeight="1">
      <c r="A13" s="8">
        <v>13</v>
      </c>
      <c r="B13" s="9" t="s">
        <v>36</v>
      </c>
      <c r="C13" s="9" t="s">
        <v>37</v>
      </c>
      <c r="D13" s="9" t="s">
        <v>38</v>
      </c>
      <c r="E13" s="9" t="s">
        <v>39</v>
      </c>
      <c r="F13" s="8">
        <v>0</v>
      </c>
      <c r="G13" s="8" t="s">
        <v>9</v>
      </c>
      <c r="H13" s="26" t="s">
        <v>183</v>
      </c>
    </row>
    <row r="14" spans="1:8" s="11" customFormat="1" ht="33.75" customHeight="1">
      <c r="A14" s="8">
        <v>14</v>
      </c>
      <c r="B14" s="9" t="s">
        <v>36</v>
      </c>
      <c r="C14" s="9" t="s">
        <v>40</v>
      </c>
      <c r="D14" s="26" t="s">
        <v>41</v>
      </c>
      <c r="E14" s="9" t="s">
        <v>39</v>
      </c>
      <c r="F14" s="8">
        <v>0</v>
      </c>
      <c r="G14" s="8" t="s">
        <v>9</v>
      </c>
      <c r="H14" s="26" t="s">
        <v>41</v>
      </c>
    </row>
    <row r="15" spans="1:8" s="11" customFormat="1" ht="33.75" customHeight="1">
      <c r="A15" s="8">
        <v>15</v>
      </c>
      <c r="B15" s="9" t="s">
        <v>36</v>
      </c>
      <c r="C15" s="9" t="s">
        <v>42</v>
      </c>
      <c r="D15" s="9" t="s">
        <v>43</v>
      </c>
      <c r="E15" s="9" t="s">
        <v>39</v>
      </c>
      <c r="F15" s="8">
        <v>0</v>
      </c>
      <c r="G15" s="8" t="s">
        <v>9</v>
      </c>
      <c r="H15" s="26" t="s">
        <v>41</v>
      </c>
    </row>
    <row r="16" spans="1:8" s="11" customFormat="1" ht="33.75" customHeight="1">
      <c r="A16" s="8">
        <v>16</v>
      </c>
      <c r="B16" s="9" t="s">
        <v>36</v>
      </c>
      <c r="C16" s="12" t="s">
        <v>44</v>
      </c>
      <c r="D16" s="9" t="s">
        <v>45</v>
      </c>
      <c r="E16" s="9" t="s">
        <v>39</v>
      </c>
      <c r="F16" s="8">
        <v>0</v>
      </c>
      <c r="G16" s="13" t="s">
        <v>9</v>
      </c>
      <c r="H16" s="26" t="s">
        <v>46</v>
      </c>
    </row>
    <row r="17" spans="1:8" s="11" customFormat="1" ht="33.75" customHeight="1">
      <c r="A17" s="8">
        <v>17</v>
      </c>
      <c r="B17" s="9" t="s">
        <v>6</v>
      </c>
      <c r="C17" s="26" t="s">
        <v>47</v>
      </c>
      <c r="D17" s="26" t="s">
        <v>48</v>
      </c>
      <c r="E17" s="26" t="s">
        <v>185</v>
      </c>
      <c r="F17" s="8">
        <v>0</v>
      </c>
      <c r="G17" s="13" t="s">
        <v>9</v>
      </c>
      <c r="H17" s="26" t="s">
        <v>184</v>
      </c>
    </row>
    <row r="18" spans="1:8" s="11" customFormat="1" ht="33.75" customHeight="1">
      <c r="A18" s="8">
        <v>18</v>
      </c>
      <c r="B18" s="9" t="s">
        <v>6</v>
      </c>
      <c r="C18" s="26" t="s">
        <v>49</v>
      </c>
      <c r="D18" s="9" t="s">
        <v>50</v>
      </c>
      <c r="E18" s="26" t="s">
        <v>187</v>
      </c>
      <c r="F18" s="8">
        <v>0</v>
      </c>
      <c r="G18" s="13" t="s">
        <v>9</v>
      </c>
      <c r="H18" s="26" t="s">
        <v>186</v>
      </c>
    </row>
    <row r="19" spans="1:8" s="11" customFormat="1" ht="33.75" customHeight="1">
      <c r="A19" s="8">
        <v>19</v>
      </c>
      <c r="B19" s="9" t="s">
        <v>6</v>
      </c>
      <c r="C19" s="26" t="s">
        <v>51</v>
      </c>
      <c r="D19" s="9" t="s">
        <v>52</v>
      </c>
      <c r="E19" s="26" t="s">
        <v>189</v>
      </c>
      <c r="F19" s="8">
        <v>0</v>
      </c>
      <c r="G19" s="13" t="s">
        <v>9</v>
      </c>
      <c r="H19" s="26" t="s">
        <v>188</v>
      </c>
    </row>
    <row r="20" spans="1:8" s="11" customFormat="1" ht="33.75" customHeight="1">
      <c r="A20" s="8">
        <v>20</v>
      </c>
      <c r="B20" s="9" t="s">
        <v>6</v>
      </c>
      <c r="C20" s="9" t="s">
        <v>53</v>
      </c>
      <c r="D20" s="26" t="s">
        <v>54</v>
      </c>
      <c r="E20" s="26" t="s">
        <v>189</v>
      </c>
      <c r="F20" s="8">
        <v>0</v>
      </c>
      <c r="G20" s="13" t="s">
        <v>9</v>
      </c>
      <c r="H20" s="26" t="s">
        <v>190</v>
      </c>
    </row>
    <row r="21" spans="1:8" s="11" customFormat="1" ht="33.75" customHeight="1">
      <c r="A21" s="8">
        <v>21</v>
      </c>
      <c r="B21" s="9" t="s">
        <v>6</v>
      </c>
      <c r="C21" s="26" t="s">
        <v>55</v>
      </c>
      <c r="D21" s="9" t="s">
        <v>56</v>
      </c>
      <c r="E21" s="26" t="s">
        <v>192</v>
      </c>
      <c r="F21" s="8">
        <v>0</v>
      </c>
      <c r="G21" s="13" t="s">
        <v>9</v>
      </c>
      <c r="H21" s="26" t="s">
        <v>191</v>
      </c>
    </row>
    <row r="22" spans="1:8" s="11" customFormat="1" ht="33.75" customHeight="1">
      <c r="A22" s="8">
        <v>22</v>
      </c>
      <c r="B22" s="9" t="s">
        <v>6</v>
      </c>
      <c r="C22" s="26" t="s">
        <v>58</v>
      </c>
      <c r="D22" s="9" t="s">
        <v>59</v>
      </c>
      <c r="E22" s="26" t="s">
        <v>185</v>
      </c>
      <c r="F22" s="8">
        <v>0</v>
      </c>
      <c r="G22" s="13" t="s">
        <v>9</v>
      </c>
      <c r="H22" s="26" t="s">
        <v>193</v>
      </c>
    </row>
    <row r="23" spans="1:8" s="11" customFormat="1" ht="33.75" customHeight="1">
      <c r="A23" s="8">
        <v>23</v>
      </c>
      <c r="B23" s="9" t="s">
        <v>6</v>
      </c>
      <c r="C23" s="26" t="s">
        <v>60</v>
      </c>
      <c r="D23" s="9" t="s">
        <v>61</v>
      </c>
      <c r="E23" s="26" t="s">
        <v>195</v>
      </c>
      <c r="F23" s="8">
        <v>0</v>
      </c>
      <c r="G23" s="13" t="s">
        <v>9</v>
      </c>
      <c r="H23" s="26" t="s">
        <v>194</v>
      </c>
    </row>
    <row r="24" spans="1:8" s="11" customFormat="1" ht="33.75" customHeight="1">
      <c r="A24" s="8">
        <v>24</v>
      </c>
      <c r="B24" s="9" t="s">
        <v>6</v>
      </c>
      <c r="C24" s="9" t="s">
        <v>62</v>
      </c>
      <c r="D24" s="9" t="s">
        <v>63</v>
      </c>
      <c r="E24" s="26" t="s">
        <v>57</v>
      </c>
      <c r="F24" s="8">
        <v>0</v>
      </c>
      <c r="G24" s="13" t="s">
        <v>9</v>
      </c>
      <c r="H24" s="26" t="s">
        <v>196</v>
      </c>
    </row>
    <row r="25" spans="1:8" s="11" customFormat="1" ht="33.75" customHeight="1">
      <c r="A25" s="8">
        <v>25</v>
      </c>
      <c r="B25" s="26" t="s">
        <v>197</v>
      </c>
      <c r="C25" s="26" t="s">
        <v>64</v>
      </c>
      <c r="D25" s="26" t="s">
        <v>198</v>
      </c>
      <c r="E25" s="26" t="s">
        <v>199</v>
      </c>
      <c r="F25" s="8">
        <v>0</v>
      </c>
      <c r="G25" s="13" t="s">
        <v>9</v>
      </c>
      <c r="H25" s="26" t="s">
        <v>198</v>
      </c>
    </row>
    <row r="26" spans="1:8" s="11" customFormat="1" ht="33.75" customHeight="1">
      <c r="A26" s="8">
        <v>26</v>
      </c>
      <c r="B26" s="9" t="s">
        <v>6</v>
      </c>
      <c r="C26" s="26" t="s">
        <v>65</v>
      </c>
      <c r="D26" s="9" t="s">
        <v>66</v>
      </c>
      <c r="E26" s="26" t="s">
        <v>201</v>
      </c>
      <c r="F26" s="8">
        <v>0</v>
      </c>
      <c r="G26" s="13" t="s">
        <v>9</v>
      </c>
      <c r="H26" s="26" t="s">
        <v>200</v>
      </c>
    </row>
    <row r="27" spans="1:8" s="11" customFormat="1" ht="33.75" customHeight="1">
      <c r="A27" s="8">
        <v>27</v>
      </c>
      <c r="B27" s="9" t="s">
        <v>36</v>
      </c>
      <c r="C27" s="9" t="s">
        <v>67</v>
      </c>
      <c r="D27" s="26" t="s">
        <v>68</v>
      </c>
      <c r="E27" s="9" t="s">
        <v>39</v>
      </c>
      <c r="F27" s="8">
        <v>0</v>
      </c>
      <c r="G27" s="13" t="s">
        <v>9</v>
      </c>
      <c r="H27" s="26" t="s">
        <v>68</v>
      </c>
    </row>
    <row r="28" spans="1:8" s="11" customFormat="1" ht="33.75" customHeight="1">
      <c r="A28" s="8">
        <v>28</v>
      </c>
      <c r="B28" s="9" t="s">
        <v>36</v>
      </c>
      <c r="C28" s="9" t="s">
        <v>69</v>
      </c>
      <c r="D28" s="9" t="s">
        <v>70</v>
      </c>
      <c r="E28" s="9" t="s">
        <v>39</v>
      </c>
      <c r="F28" s="8">
        <v>0</v>
      </c>
      <c r="G28" s="13" t="s">
        <v>9</v>
      </c>
      <c r="H28" s="26" t="s">
        <v>68</v>
      </c>
    </row>
    <row r="29" spans="1:8" s="11" customFormat="1" ht="33.75" customHeight="1">
      <c r="A29" s="8">
        <v>29</v>
      </c>
      <c r="B29" s="9" t="s">
        <v>36</v>
      </c>
      <c r="C29" s="9" t="s">
        <v>71</v>
      </c>
      <c r="D29" s="9" t="s">
        <v>72</v>
      </c>
      <c r="E29" s="9" t="s">
        <v>39</v>
      </c>
      <c r="F29" s="8">
        <v>0</v>
      </c>
      <c r="G29" s="13" t="s">
        <v>9</v>
      </c>
      <c r="H29" s="9" t="s">
        <v>68</v>
      </c>
    </row>
    <row r="30" spans="1:8" s="11" customFormat="1" ht="33.75" customHeight="1">
      <c r="A30" s="8">
        <v>30</v>
      </c>
      <c r="B30" s="9" t="s">
        <v>36</v>
      </c>
      <c r="C30" s="9" t="s">
        <v>73</v>
      </c>
      <c r="D30" s="9" t="s">
        <v>74</v>
      </c>
      <c r="E30" s="9" t="s">
        <v>39</v>
      </c>
      <c r="F30" s="8">
        <v>0</v>
      </c>
      <c r="G30" s="13" t="s">
        <v>9</v>
      </c>
      <c r="H30" s="26" t="s">
        <v>68</v>
      </c>
    </row>
    <row r="31" spans="1:8" s="11" customFormat="1" ht="33.75" customHeight="1">
      <c r="A31" s="8">
        <v>31</v>
      </c>
      <c r="B31" s="9" t="s">
        <v>36</v>
      </c>
      <c r="C31" s="9" t="s">
        <v>75</v>
      </c>
      <c r="D31" s="9" t="s">
        <v>76</v>
      </c>
      <c r="E31" s="9" t="s">
        <v>39</v>
      </c>
      <c r="F31" s="8">
        <v>0</v>
      </c>
      <c r="G31" s="13" t="s">
        <v>9</v>
      </c>
      <c r="H31" s="26" t="s">
        <v>68</v>
      </c>
    </row>
    <row r="32" spans="1:8" s="11" customFormat="1" ht="33.75" customHeight="1">
      <c r="A32" s="8">
        <v>32</v>
      </c>
      <c r="B32" s="9" t="s">
        <v>36</v>
      </c>
      <c r="C32" s="14" t="s">
        <v>77</v>
      </c>
      <c r="D32" s="14" t="s">
        <v>78</v>
      </c>
      <c r="E32" s="14" t="s">
        <v>39</v>
      </c>
      <c r="F32" s="8">
        <v>0</v>
      </c>
      <c r="G32" s="13" t="s">
        <v>9</v>
      </c>
      <c r="H32" s="26" t="s">
        <v>68</v>
      </c>
    </row>
    <row r="33" spans="1:8" s="11" customFormat="1" ht="33.75" customHeight="1">
      <c r="A33" s="15">
        <v>33</v>
      </c>
      <c r="B33" s="16" t="s">
        <v>6</v>
      </c>
      <c r="C33" s="16" t="s">
        <v>79</v>
      </c>
      <c r="D33" s="28" t="s">
        <v>80</v>
      </c>
      <c r="E33" s="28" t="s">
        <v>185</v>
      </c>
      <c r="F33" s="15"/>
      <c r="G33" s="17" t="s">
        <v>9</v>
      </c>
      <c r="H33" s="28" t="s">
        <v>202</v>
      </c>
    </row>
    <row r="34" spans="1:8" s="11" customFormat="1" ht="33.75" customHeight="1">
      <c r="A34" s="15">
        <v>34</v>
      </c>
      <c r="B34" s="16" t="s">
        <v>6</v>
      </c>
      <c r="C34" s="28" t="s">
        <v>81</v>
      </c>
      <c r="D34" s="16" t="s">
        <v>82</v>
      </c>
      <c r="E34" s="28" t="s">
        <v>204</v>
      </c>
      <c r="F34" s="15"/>
      <c r="G34" s="15" t="s">
        <v>9</v>
      </c>
      <c r="H34" s="28" t="s">
        <v>203</v>
      </c>
    </row>
    <row r="35" spans="1:8" s="11" customFormat="1" ht="33.75" customHeight="1">
      <c r="A35" s="15">
        <v>35</v>
      </c>
      <c r="B35" s="16" t="s">
        <v>6</v>
      </c>
      <c r="C35" s="16" t="s">
        <v>83</v>
      </c>
      <c r="D35" s="16" t="s">
        <v>84</v>
      </c>
      <c r="E35" s="28" t="s">
        <v>192</v>
      </c>
      <c r="F35" s="15"/>
      <c r="G35" s="15" t="s">
        <v>9</v>
      </c>
      <c r="H35" s="28" t="s">
        <v>205</v>
      </c>
    </row>
    <row r="36" spans="1:8" s="11" customFormat="1" ht="33.75" customHeight="1">
      <c r="A36" s="15">
        <v>36</v>
      </c>
      <c r="B36" s="16" t="s">
        <v>85</v>
      </c>
      <c r="C36" s="28" t="s">
        <v>86</v>
      </c>
      <c r="D36" s="18" t="s">
        <v>87</v>
      </c>
      <c r="E36" s="18" t="s">
        <v>207</v>
      </c>
      <c r="F36" s="15"/>
      <c r="G36" s="17" t="s">
        <v>9</v>
      </c>
      <c r="H36" s="28" t="s">
        <v>206</v>
      </c>
    </row>
    <row r="37" spans="1:8" s="11" customFormat="1" ht="33.75" customHeight="1">
      <c r="A37" s="15">
        <v>37</v>
      </c>
      <c r="B37" s="16" t="s">
        <v>85</v>
      </c>
      <c r="C37" s="18" t="s">
        <v>88</v>
      </c>
      <c r="D37" s="18" t="s">
        <v>89</v>
      </c>
      <c r="E37" s="18" t="s">
        <v>207</v>
      </c>
      <c r="F37" s="15"/>
      <c r="G37" s="17" t="s">
        <v>9</v>
      </c>
      <c r="H37" s="28" t="s">
        <v>208</v>
      </c>
    </row>
    <row r="38" spans="1:8" s="11" customFormat="1" ht="33.75" customHeight="1">
      <c r="A38" s="15">
        <v>38</v>
      </c>
      <c r="B38" s="16" t="s">
        <v>85</v>
      </c>
      <c r="C38" s="18" t="s">
        <v>90</v>
      </c>
      <c r="D38" s="18" t="s">
        <v>91</v>
      </c>
      <c r="E38" s="18" t="s">
        <v>210</v>
      </c>
      <c r="F38" s="15"/>
      <c r="G38" s="17" t="s">
        <v>9</v>
      </c>
      <c r="H38" s="28" t="s">
        <v>209</v>
      </c>
    </row>
    <row r="39" spans="1:8" s="11" customFormat="1" ht="33.75" customHeight="1">
      <c r="A39" s="15">
        <v>39</v>
      </c>
      <c r="B39" s="16" t="s">
        <v>85</v>
      </c>
      <c r="C39" s="18" t="s">
        <v>92</v>
      </c>
      <c r="D39" s="18" t="s">
        <v>93</v>
      </c>
      <c r="E39" s="18" t="s">
        <v>212</v>
      </c>
      <c r="F39" s="15"/>
      <c r="G39" s="17" t="s">
        <v>9</v>
      </c>
      <c r="H39" s="28" t="s">
        <v>211</v>
      </c>
    </row>
    <row r="40" spans="1:8" s="11" customFormat="1" ht="33.75" customHeight="1">
      <c r="A40" s="15">
        <v>40</v>
      </c>
      <c r="B40" s="16" t="s">
        <v>85</v>
      </c>
      <c r="C40" s="18" t="s">
        <v>94</v>
      </c>
      <c r="D40" s="18" t="s">
        <v>95</v>
      </c>
      <c r="E40" s="18" t="s">
        <v>214</v>
      </c>
      <c r="F40" s="15"/>
      <c r="G40" s="17" t="s">
        <v>9</v>
      </c>
      <c r="H40" s="28" t="s">
        <v>213</v>
      </c>
    </row>
    <row r="41" spans="1:8" s="11" customFormat="1" ht="33.75" customHeight="1">
      <c r="A41" s="15">
        <v>41</v>
      </c>
      <c r="B41" s="16" t="s">
        <v>85</v>
      </c>
      <c r="C41" s="18" t="s">
        <v>96</v>
      </c>
      <c r="D41" s="18" t="s">
        <v>97</v>
      </c>
      <c r="E41" s="18" t="s">
        <v>216</v>
      </c>
      <c r="F41" s="15"/>
      <c r="G41" s="17" t="s">
        <v>9</v>
      </c>
      <c r="H41" s="28" t="s">
        <v>215</v>
      </c>
    </row>
    <row r="42" spans="1:8" s="11" customFormat="1" ht="33.75" customHeight="1">
      <c r="A42" s="15">
        <v>42</v>
      </c>
      <c r="B42" s="16" t="s">
        <v>85</v>
      </c>
      <c r="C42" s="18" t="s">
        <v>98</v>
      </c>
      <c r="D42" s="18" t="s">
        <v>99</v>
      </c>
      <c r="E42" s="18" t="s">
        <v>218</v>
      </c>
      <c r="F42" s="15"/>
      <c r="G42" s="17" t="s">
        <v>9</v>
      </c>
      <c r="H42" s="28" t="s">
        <v>217</v>
      </c>
    </row>
    <row r="43" spans="1:8" s="11" customFormat="1" ht="33.75" customHeight="1">
      <c r="A43" s="15">
        <v>43</v>
      </c>
      <c r="B43" s="16" t="s">
        <v>85</v>
      </c>
      <c r="C43" s="18" t="s">
        <v>100</v>
      </c>
      <c r="D43" s="18" t="s">
        <v>101</v>
      </c>
      <c r="E43" s="28" t="s">
        <v>220</v>
      </c>
      <c r="F43" s="15"/>
      <c r="G43" s="17" t="s">
        <v>9</v>
      </c>
      <c r="H43" s="28" t="s">
        <v>219</v>
      </c>
    </row>
    <row r="44" spans="1:8" s="11" customFormat="1" ht="33.75" customHeight="1">
      <c r="A44" s="15">
        <v>44</v>
      </c>
      <c r="B44" s="16" t="s">
        <v>85</v>
      </c>
      <c r="C44" s="18" t="s">
        <v>102</v>
      </c>
      <c r="D44" s="18" t="s">
        <v>103</v>
      </c>
      <c r="E44" s="28" t="s">
        <v>220</v>
      </c>
      <c r="F44" s="15"/>
      <c r="G44" s="17" t="s">
        <v>9</v>
      </c>
      <c r="H44" s="28" t="s">
        <v>221</v>
      </c>
    </row>
    <row r="45" spans="1:8" s="11" customFormat="1" ht="33.75" customHeight="1">
      <c r="A45" s="15">
        <v>45</v>
      </c>
      <c r="B45" s="16" t="s">
        <v>85</v>
      </c>
      <c r="C45" s="18" t="s">
        <v>104</v>
      </c>
      <c r="D45" s="18" t="s">
        <v>105</v>
      </c>
      <c r="E45" s="18" t="s">
        <v>223</v>
      </c>
      <c r="F45" s="15"/>
      <c r="G45" s="15" t="s">
        <v>9</v>
      </c>
      <c r="H45" s="28" t="s">
        <v>222</v>
      </c>
    </row>
    <row r="46" spans="1:8" s="11" customFormat="1" ht="33.75" customHeight="1">
      <c r="A46" s="15">
        <v>46</v>
      </c>
      <c r="B46" s="16" t="s">
        <v>85</v>
      </c>
      <c r="C46" s="18" t="s">
        <v>106</v>
      </c>
      <c r="D46" s="18" t="s">
        <v>107</v>
      </c>
      <c r="E46" s="18" t="s">
        <v>225</v>
      </c>
      <c r="F46" s="15"/>
      <c r="G46" s="15" t="s">
        <v>9</v>
      </c>
      <c r="H46" s="28" t="s">
        <v>224</v>
      </c>
    </row>
    <row r="47" spans="1:8" s="11" customFormat="1" ht="33.75" customHeight="1">
      <c r="A47" s="15">
        <v>47</v>
      </c>
      <c r="B47" s="16" t="s">
        <v>85</v>
      </c>
      <c r="C47" s="18" t="s">
        <v>108</v>
      </c>
      <c r="D47" s="18" t="s">
        <v>109</v>
      </c>
      <c r="E47" s="18" t="s">
        <v>223</v>
      </c>
      <c r="F47" s="15"/>
      <c r="G47" s="15" t="s">
        <v>9</v>
      </c>
      <c r="H47" s="28" t="s">
        <v>226</v>
      </c>
    </row>
    <row r="48" spans="1:8" s="11" customFormat="1" ht="33.75" customHeight="1">
      <c r="A48" s="15">
        <v>48</v>
      </c>
      <c r="B48" s="16" t="s">
        <v>85</v>
      </c>
      <c r="C48" s="18" t="s">
        <v>227</v>
      </c>
      <c r="D48" s="18" t="s">
        <v>110</v>
      </c>
      <c r="E48" s="18" t="s">
        <v>229</v>
      </c>
      <c r="F48" s="15"/>
      <c r="G48" s="15" t="s">
        <v>9</v>
      </c>
      <c r="H48" s="28" t="s">
        <v>228</v>
      </c>
    </row>
    <row r="49" spans="1:8" s="11" customFormat="1" ht="33.75" customHeight="1">
      <c r="A49" s="15">
        <v>49</v>
      </c>
      <c r="B49" s="16" t="s">
        <v>85</v>
      </c>
      <c r="C49" s="16" t="s">
        <v>111</v>
      </c>
      <c r="D49" s="16" t="s">
        <v>112</v>
      </c>
      <c r="E49" s="28" t="s">
        <v>231</v>
      </c>
      <c r="F49" s="15"/>
      <c r="G49" s="15" t="s">
        <v>9</v>
      </c>
      <c r="H49" s="28" t="s">
        <v>230</v>
      </c>
    </row>
    <row r="50" spans="1:8" s="11" customFormat="1" ht="33.75" customHeight="1">
      <c r="A50" s="15">
        <v>50</v>
      </c>
      <c r="B50" s="16" t="s">
        <v>85</v>
      </c>
      <c r="C50" s="16" t="s">
        <v>113</v>
      </c>
      <c r="D50" s="16" t="s">
        <v>114</v>
      </c>
      <c r="E50" s="28" t="s">
        <v>233</v>
      </c>
      <c r="F50" s="15"/>
      <c r="G50" s="15" t="s">
        <v>9</v>
      </c>
      <c r="H50" s="28" t="s">
        <v>232</v>
      </c>
    </row>
    <row r="51" spans="1:8" s="11" customFormat="1" ht="33.75" customHeight="1">
      <c r="A51" s="15">
        <v>51</v>
      </c>
      <c r="B51" s="16" t="s">
        <v>33</v>
      </c>
      <c r="C51" s="16" t="s">
        <v>115</v>
      </c>
      <c r="D51" s="16" t="s">
        <v>116</v>
      </c>
      <c r="E51" s="28" t="s">
        <v>235</v>
      </c>
      <c r="F51" s="15"/>
      <c r="G51" s="15" t="s">
        <v>9</v>
      </c>
      <c r="H51" s="28" t="s">
        <v>234</v>
      </c>
    </row>
    <row r="52" spans="1:8" s="11" customFormat="1" ht="30" customHeight="1">
      <c r="A52" s="19">
        <v>52</v>
      </c>
      <c r="B52" s="20" t="s">
        <v>6</v>
      </c>
      <c r="C52" s="21" t="s">
        <v>122</v>
      </c>
      <c r="D52" s="21" t="s">
        <v>123</v>
      </c>
      <c r="E52" s="21" t="s">
        <v>237</v>
      </c>
      <c r="F52" s="19"/>
      <c r="G52" s="15" t="s">
        <v>9</v>
      </c>
      <c r="H52" s="29" t="s">
        <v>236</v>
      </c>
    </row>
    <row r="53" spans="1:8" s="11" customFormat="1" ht="30" customHeight="1">
      <c r="A53" s="19">
        <v>53</v>
      </c>
      <c r="B53" s="20" t="s">
        <v>6</v>
      </c>
      <c r="C53" s="21" t="s">
        <v>124</v>
      </c>
      <c r="D53" s="21" t="s">
        <v>125</v>
      </c>
      <c r="E53" s="21" t="s">
        <v>238</v>
      </c>
      <c r="F53" s="19"/>
      <c r="G53" s="15" t="s">
        <v>9</v>
      </c>
      <c r="H53" s="29" t="s">
        <v>125</v>
      </c>
    </row>
    <row r="54" spans="1:8" s="11" customFormat="1" ht="30" customHeight="1">
      <c r="A54" s="19">
        <v>54</v>
      </c>
      <c r="B54" s="20" t="s">
        <v>6</v>
      </c>
      <c r="C54" s="21" t="s">
        <v>126</v>
      </c>
      <c r="D54" s="21" t="s">
        <v>127</v>
      </c>
      <c r="E54" s="21" t="s">
        <v>128</v>
      </c>
      <c r="F54" s="19"/>
      <c r="G54" s="23" t="s">
        <v>9</v>
      </c>
      <c r="H54" s="20" t="s">
        <v>239</v>
      </c>
    </row>
    <row r="55" spans="1:8" ht="30" customHeight="1">
      <c r="A55" s="1">
        <v>55</v>
      </c>
      <c r="B55" s="2" t="s">
        <v>6</v>
      </c>
      <c r="C55" s="27" t="s">
        <v>47</v>
      </c>
      <c r="D55" s="27" t="s">
        <v>48</v>
      </c>
      <c r="E55" s="22" t="s">
        <v>185</v>
      </c>
      <c r="F55" s="1"/>
      <c r="G55" s="23" t="s">
        <v>9</v>
      </c>
      <c r="H55" s="22" t="s">
        <v>240</v>
      </c>
    </row>
    <row r="56" spans="1:8" ht="30" customHeight="1">
      <c r="A56" s="1">
        <v>56</v>
      </c>
      <c r="B56" s="2" t="s">
        <v>6</v>
      </c>
      <c r="C56" s="27" t="s">
        <v>49</v>
      </c>
      <c r="D56" s="27" t="s">
        <v>50</v>
      </c>
      <c r="E56" s="22" t="s">
        <v>242</v>
      </c>
      <c r="F56" s="1"/>
      <c r="G56" s="23" t="s">
        <v>9</v>
      </c>
      <c r="H56" s="22" t="s">
        <v>241</v>
      </c>
    </row>
    <row r="57" spans="1:8" ht="30" customHeight="1">
      <c r="A57" s="1">
        <v>57</v>
      </c>
      <c r="B57" s="2" t="s">
        <v>6</v>
      </c>
      <c r="C57" s="27" t="s">
        <v>51</v>
      </c>
      <c r="D57" s="27" t="s">
        <v>52</v>
      </c>
      <c r="E57" s="2" t="s">
        <v>185</v>
      </c>
      <c r="F57" s="1"/>
      <c r="G57" s="23" t="s">
        <v>9</v>
      </c>
      <c r="H57" s="22" t="s">
        <v>188</v>
      </c>
    </row>
    <row r="58" spans="1:8" ht="30" customHeight="1">
      <c r="A58" s="1">
        <v>58</v>
      </c>
      <c r="B58" s="2" t="s">
        <v>6</v>
      </c>
      <c r="C58" s="27" t="s">
        <v>53</v>
      </c>
      <c r="D58" s="27" t="s">
        <v>54</v>
      </c>
      <c r="E58" s="22" t="s">
        <v>185</v>
      </c>
      <c r="F58" s="1"/>
      <c r="G58" s="23" t="s">
        <v>9</v>
      </c>
      <c r="H58" s="22" t="s">
        <v>243</v>
      </c>
    </row>
    <row r="59" spans="1:8" ht="30" customHeight="1">
      <c r="A59" s="1">
        <v>59</v>
      </c>
      <c r="B59" s="2" t="s">
        <v>6</v>
      </c>
      <c r="C59" s="27" t="s">
        <v>55</v>
      </c>
      <c r="D59" s="27" t="s">
        <v>56</v>
      </c>
      <c r="E59" s="22" t="s">
        <v>192</v>
      </c>
      <c r="F59" s="1"/>
      <c r="G59" s="23" t="s">
        <v>9</v>
      </c>
      <c r="H59" s="22" t="s">
        <v>244</v>
      </c>
    </row>
    <row r="60" spans="1:8" ht="30" customHeight="1">
      <c r="A60" s="1">
        <v>60</v>
      </c>
      <c r="B60" s="2" t="s">
        <v>6</v>
      </c>
      <c r="C60" s="27" t="s">
        <v>58</v>
      </c>
      <c r="D60" s="27" t="s">
        <v>59</v>
      </c>
      <c r="E60" s="22" t="s">
        <v>246</v>
      </c>
      <c r="F60" s="1"/>
      <c r="G60" s="23" t="s">
        <v>9</v>
      </c>
      <c r="H60" s="22" t="s">
        <v>245</v>
      </c>
    </row>
    <row r="61" spans="1:8" ht="30" customHeight="1">
      <c r="A61" s="1">
        <v>61</v>
      </c>
      <c r="B61" s="2" t="s">
        <v>6</v>
      </c>
      <c r="C61" s="27" t="s">
        <v>60</v>
      </c>
      <c r="D61" s="27" t="s">
        <v>61</v>
      </c>
      <c r="E61" s="2" t="s">
        <v>192</v>
      </c>
      <c r="F61" s="1"/>
      <c r="G61" s="23" t="s">
        <v>9</v>
      </c>
      <c r="H61" s="22" t="s">
        <v>247</v>
      </c>
    </row>
    <row r="62" spans="1:8" ht="30" customHeight="1">
      <c r="A62" s="1">
        <v>62</v>
      </c>
      <c r="B62" s="2" t="s">
        <v>6</v>
      </c>
      <c r="C62" s="27" t="s">
        <v>62</v>
      </c>
      <c r="D62" s="27" t="s">
        <v>63</v>
      </c>
      <c r="E62" s="22" t="s">
        <v>57</v>
      </c>
      <c r="F62" s="1"/>
      <c r="G62" s="23" t="s">
        <v>9</v>
      </c>
      <c r="H62" s="27" t="s">
        <v>63</v>
      </c>
    </row>
    <row r="63" spans="1:8" ht="30" customHeight="1">
      <c r="A63" s="1">
        <v>63</v>
      </c>
      <c r="B63" s="2" t="s">
        <v>6</v>
      </c>
      <c r="C63" s="22" t="s">
        <v>248</v>
      </c>
      <c r="D63" s="27" t="s">
        <v>250</v>
      </c>
      <c r="E63" s="22" t="s">
        <v>251</v>
      </c>
      <c r="F63" s="1"/>
      <c r="G63" s="23" t="s">
        <v>9</v>
      </c>
      <c r="H63" s="22" t="s">
        <v>249</v>
      </c>
    </row>
    <row r="64" spans="1:8" ht="30" customHeight="1">
      <c r="A64" s="1">
        <v>64</v>
      </c>
      <c r="B64" s="2" t="s">
        <v>6</v>
      </c>
      <c r="C64" s="27" t="s">
        <v>252</v>
      </c>
      <c r="D64" s="27" t="s">
        <v>254</v>
      </c>
      <c r="E64" s="22" t="s">
        <v>255</v>
      </c>
      <c r="F64" s="1"/>
      <c r="G64" s="23" t="s">
        <v>9</v>
      </c>
      <c r="H64" s="22" t="s">
        <v>253</v>
      </c>
    </row>
    <row r="65" spans="1:8" ht="30" customHeight="1">
      <c r="A65" s="1">
        <v>65</v>
      </c>
      <c r="B65" s="2" t="s">
        <v>6</v>
      </c>
      <c r="C65" s="27" t="s">
        <v>257</v>
      </c>
      <c r="D65" s="27" t="s">
        <v>256</v>
      </c>
      <c r="E65" s="22" t="s">
        <v>170</v>
      </c>
      <c r="F65" s="1"/>
      <c r="G65" s="23" t="s">
        <v>9</v>
      </c>
      <c r="H65" s="22" t="s">
        <v>256</v>
      </c>
    </row>
    <row r="66" spans="1:8" ht="30" customHeight="1">
      <c r="A66" s="1">
        <v>66</v>
      </c>
      <c r="B66" s="2" t="s">
        <v>6</v>
      </c>
      <c r="C66" s="27" t="s">
        <v>258</v>
      </c>
      <c r="D66" s="27" t="s">
        <v>260</v>
      </c>
      <c r="E66" s="22" t="s">
        <v>261</v>
      </c>
      <c r="F66" s="1"/>
      <c r="G66" s="23" t="s">
        <v>9</v>
      </c>
      <c r="H66" s="22" t="s">
        <v>259</v>
      </c>
    </row>
    <row r="67" spans="1:8" ht="30" customHeight="1">
      <c r="A67" s="1">
        <v>67</v>
      </c>
      <c r="B67" s="2" t="s">
        <v>12</v>
      </c>
      <c r="C67" s="22" t="s">
        <v>262</v>
      </c>
      <c r="D67" s="22" t="s">
        <v>263</v>
      </c>
      <c r="E67" s="22" t="s">
        <v>269</v>
      </c>
      <c r="F67" s="1"/>
      <c r="G67" s="24" t="s">
        <v>9</v>
      </c>
      <c r="H67" s="22" t="s">
        <v>264</v>
      </c>
    </row>
    <row r="68" spans="1:8" ht="30" customHeight="1">
      <c r="A68" s="1">
        <v>68</v>
      </c>
      <c r="B68" s="2" t="s">
        <v>12</v>
      </c>
      <c r="C68" s="2" t="s">
        <v>134</v>
      </c>
      <c r="D68" s="22" t="s">
        <v>133</v>
      </c>
      <c r="E68" s="22" t="s">
        <v>268</v>
      </c>
      <c r="F68" s="1"/>
      <c r="G68" s="24" t="s">
        <v>9</v>
      </c>
      <c r="H68" s="22" t="s">
        <v>265</v>
      </c>
    </row>
    <row r="69" spans="1:8" ht="30" customHeight="1">
      <c r="A69" s="1">
        <v>69</v>
      </c>
      <c r="B69" s="2" t="s">
        <v>12</v>
      </c>
      <c r="C69" s="22" t="s">
        <v>135</v>
      </c>
      <c r="D69" s="22" t="s">
        <v>136</v>
      </c>
      <c r="E69" s="22" t="s">
        <v>267</v>
      </c>
      <c r="F69" s="1"/>
      <c r="G69" s="24" t="s">
        <v>9</v>
      </c>
      <c r="H69" s="22" t="s">
        <v>266</v>
      </c>
    </row>
    <row r="70" spans="1:8" ht="30" customHeight="1">
      <c r="A70" s="1">
        <v>70</v>
      </c>
      <c r="B70" s="2" t="s">
        <v>12</v>
      </c>
      <c r="C70" s="22" t="s">
        <v>137</v>
      </c>
      <c r="D70" s="22" t="s">
        <v>138</v>
      </c>
      <c r="E70" s="22" t="s">
        <v>271</v>
      </c>
      <c r="F70" s="1"/>
      <c r="G70" s="24" t="s">
        <v>9</v>
      </c>
      <c r="H70" s="22" t="s">
        <v>270</v>
      </c>
    </row>
    <row r="71" spans="1:8" ht="30" customHeight="1">
      <c r="A71" s="1">
        <v>71</v>
      </c>
      <c r="B71" s="2" t="s">
        <v>12</v>
      </c>
      <c r="C71" s="22" t="s">
        <v>139</v>
      </c>
      <c r="D71" s="22" t="s">
        <v>140</v>
      </c>
      <c r="E71" s="22" t="s">
        <v>273</v>
      </c>
      <c r="F71" s="1"/>
      <c r="G71" s="24" t="s">
        <v>9</v>
      </c>
      <c r="H71" s="22" t="s">
        <v>272</v>
      </c>
    </row>
    <row r="72" spans="1:8" ht="30" customHeight="1">
      <c r="A72" s="1">
        <v>72</v>
      </c>
      <c r="B72" s="2" t="s">
        <v>12</v>
      </c>
      <c r="C72" s="22" t="s">
        <v>141</v>
      </c>
      <c r="D72" s="22" t="s">
        <v>142</v>
      </c>
      <c r="E72" s="22" t="s">
        <v>275</v>
      </c>
      <c r="F72" s="1"/>
      <c r="G72" s="24" t="s">
        <v>9</v>
      </c>
      <c r="H72" s="22" t="s">
        <v>274</v>
      </c>
    </row>
    <row r="73" spans="1:8" ht="30" customHeight="1">
      <c r="A73" s="1">
        <v>73</v>
      </c>
      <c r="B73" s="2" t="s">
        <v>12</v>
      </c>
      <c r="C73" s="22" t="s">
        <v>146</v>
      </c>
      <c r="D73" s="22" t="s">
        <v>147</v>
      </c>
      <c r="E73" s="22" t="s">
        <v>277</v>
      </c>
      <c r="F73" s="1"/>
      <c r="G73" s="24" t="s">
        <v>9</v>
      </c>
      <c r="H73" s="22" t="s">
        <v>276</v>
      </c>
    </row>
    <row r="74" spans="1:8" ht="30" customHeight="1">
      <c r="A74" s="1">
        <v>74</v>
      </c>
      <c r="B74" s="2" t="s">
        <v>12</v>
      </c>
      <c r="C74" s="22" t="s">
        <v>148</v>
      </c>
      <c r="D74" s="22" t="s">
        <v>149</v>
      </c>
      <c r="E74" s="22" t="s">
        <v>279</v>
      </c>
      <c r="F74" s="1"/>
      <c r="G74" s="24" t="s">
        <v>9</v>
      </c>
      <c r="H74" s="22" t="s">
        <v>278</v>
      </c>
    </row>
    <row r="75" spans="1:8" ht="30" customHeight="1">
      <c r="A75" s="1">
        <v>75</v>
      </c>
      <c r="B75" s="2" t="s">
        <v>36</v>
      </c>
      <c r="C75" s="22" t="s">
        <v>143</v>
      </c>
      <c r="D75" s="22" t="s">
        <v>144</v>
      </c>
      <c r="E75" s="22" t="s">
        <v>145</v>
      </c>
      <c r="F75" s="1"/>
      <c r="G75" s="24" t="s">
        <v>9</v>
      </c>
      <c r="H75" s="2" t="s">
        <v>159</v>
      </c>
    </row>
    <row r="76" spans="1:8" ht="30" customHeight="1">
      <c r="A76" s="1">
        <v>76</v>
      </c>
      <c r="B76" s="2" t="s">
        <v>36</v>
      </c>
      <c r="C76" s="22" t="s">
        <v>150</v>
      </c>
      <c r="D76" s="22" t="s">
        <v>159</v>
      </c>
      <c r="E76" s="22" t="s">
        <v>39</v>
      </c>
      <c r="F76" s="1"/>
      <c r="G76" s="24" t="s">
        <v>9</v>
      </c>
      <c r="H76" s="2" t="s">
        <v>159</v>
      </c>
    </row>
    <row r="77" spans="1:8" ht="30" customHeight="1">
      <c r="A77" s="1">
        <v>77</v>
      </c>
      <c r="B77" s="2" t="s">
        <v>36</v>
      </c>
      <c r="C77" s="22" t="s">
        <v>151</v>
      </c>
      <c r="D77" s="2" t="s">
        <v>159</v>
      </c>
      <c r="E77" s="22" t="s">
        <v>39</v>
      </c>
      <c r="F77" s="1"/>
      <c r="G77" s="24" t="s">
        <v>9</v>
      </c>
      <c r="H77" s="2" t="s">
        <v>159</v>
      </c>
    </row>
    <row r="78" spans="1:8" ht="30" customHeight="1">
      <c r="A78" s="1">
        <v>78</v>
      </c>
      <c r="B78" s="2" t="s">
        <v>36</v>
      </c>
      <c r="C78" s="22" t="s">
        <v>152</v>
      </c>
      <c r="D78" s="22" t="s">
        <v>159</v>
      </c>
      <c r="E78" s="22" t="s">
        <v>39</v>
      </c>
      <c r="F78" s="1"/>
      <c r="G78" s="24" t="s">
        <v>9</v>
      </c>
      <c r="H78" s="2" t="s">
        <v>159</v>
      </c>
    </row>
    <row r="79" spans="1:8" ht="30" customHeight="1">
      <c r="A79" s="1">
        <v>79</v>
      </c>
      <c r="B79" s="2" t="s">
        <v>36</v>
      </c>
      <c r="C79" s="22" t="s">
        <v>153</v>
      </c>
      <c r="D79" s="22" t="s">
        <v>159</v>
      </c>
      <c r="E79" s="22" t="s">
        <v>39</v>
      </c>
      <c r="F79" s="1"/>
      <c r="G79" s="24" t="s">
        <v>9</v>
      </c>
      <c r="H79" s="2" t="s">
        <v>159</v>
      </c>
    </row>
    <row r="80" spans="1:8" ht="30" customHeight="1">
      <c r="A80" s="1">
        <v>80</v>
      </c>
      <c r="B80" s="2" t="s">
        <v>36</v>
      </c>
      <c r="C80" s="22" t="s">
        <v>154</v>
      </c>
      <c r="D80" s="22" t="s">
        <v>159</v>
      </c>
      <c r="E80" s="22" t="s">
        <v>39</v>
      </c>
      <c r="F80" s="1"/>
      <c r="G80" s="24" t="s">
        <v>9</v>
      </c>
      <c r="H80" s="2" t="s">
        <v>159</v>
      </c>
    </row>
    <row r="81" spans="1:8" ht="30" customHeight="1">
      <c r="A81" s="1">
        <v>81</v>
      </c>
      <c r="B81" s="2" t="s">
        <v>36</v>
      </c>
      <c r="C81" s="22" t="s">
        <v>155</v>
      </c>
      <c r="D81" s="2" t="s">
        <v>159</v>
      </c>
      <c r="E81" s="22" t="s">
        <v>39</v>
      </c>
      <c r="F81" s="1"/>
      <c r="G81" s="24" t="s">
        <v>9</v>
      </c>
      <c r="H81" s="2" t="s">
        <v>159</v>
      </c>
    </row>
    <row r="82" spans="1:8" ht="30" customHeight="1">
      <c r="A82" s="1">
        <v>82</v>
      </c>
      <c r="B82" s="2" t="s">
        <v>36</v>
      </c>
      <c r="C82" s="22" t="s">
        <v>156</v>
      </c>
      <c r="D82" s="22" t="s">
        <v>159</v>
      </c>
      <c r="E82" s="22" t="s">
        <v>39</v>
      </c>
      <c r="F82" s="1"/>
      <c r="G82" s="24" t="s">
        <v>9</v>
      </c>
      <c r="H82" s="2" t="s">
        <v>159</v>
      </c>
    </row>
    <row r="83" spans="1:8" ht="30" customHeight="1">
      <c r="A83" s="1">
        <v>83</v>
      </c>
      <c r="B83" s="2" t="s">
        <v>36</v>
      </c>
      <c r="C83" s="25" t="s">
        <v>157</v>
      </c>
      <c r="D83" s="22" t="s">
        <v>159</v>
      </c>
      <c r="E83" s="22" t="s">
        <v>39</v>
      </c>
      <c r="F83" s="1"/>
      <c r="G83" s="24" t="s">
        <v>9</v>
      </c>
      <c r="H83" s="2" t="s">
        <v>159</v>
      </c>
    </row>
    <row r="84" spans="1:8" ht="30" customHeight="1">
      <c r="A84" s="1">
        <v>84</v>
      </c>
      <c r="B84" s="2" t="s">
        <v>36</v>
      </c>
      <c r="C84" s="22" t="s">
        <v>158</v>
      </c>
      <c r="D84" s="22" t="s">
        <v>159</v>
      </c>
      <c r="E84" s="22" t="s">
        <v>39</v>
      </c>
      <c r="F84" s="1"/>
      <c r="G84" s="24" t="s">
        <v>9</v>
      </c>
      <c r="H84" s="2" t="s">
        <v>159</v>
      </c>
    </row>
    <row r="85" spans="1:8" ht="30" customHeight="1">
      <c r="A85" s="1">
        <v>85</v>
      </c>
      <c r="B85" s="2" t="s">
        <v>33</v>
      </c>
      <c r="C85" s="22" t="s">
        <v>160</v>
      </c>
      <c r="D85" s="22" t="s">
        <v>161</v>
      </c>
      <c r="E85" s="22" t="s">
        <v>281</v>
      </c>
      <c r="F85" s="1"/>
      <c r="G85" s="24" t="s">
        <v>9</v>
      </c>
      <c r="H85" s="22" t="s">
        <v>280</v>
      </c>
    </row>
    <row r="86" spans="1:8" ht="30" customHeight="1">
      <c r="A86" s="1">
        <v>86</v>
      </c>
      <c r="B86" s="2" t="s">
        <v>33</v>
      </c>
      <c r="C86" s="22" t="s">
        <v>162</v>
      </c>
      <c r="D86" s="22" t="s">
        <v>163</v>
      </c>
      <c r="E86" s="22" t="s">
        <v>282</v>
      </c>
      <c r="F86" s="1"/>
      <c r="G86" s="24" t="s">
        <v>9</v>
      </c>
      <c r="H86" s="22" t="s">
        <v>163</v>
      </c>
    </row>
    <row r="87" spans="1:8" ht="30" customHeight="1">
      <c r="A87" s="1">
        <v>87</v>
      </c>
      <c r="B87" s="2" t="s">
        <v>85</v>
      </c>
      <c r="C87" s="22" t="s">
        <v>129</v>
      </c>
      <c r="D87" s="22" t="s">
        <v>130</v>
      </c>
      <c r="E87" s="22" t="s">
        <v>237</v>
      </c>
      <c r="F87" s="1"/>
      <c r="G87" s="24" t="s">
        <v>9</v>
      </c>
      <c r="H87" s="22" t="s">
        <v>283</v>
      </c>
    </row>
    <row r="88" spans="1:8" ht="30" customHeight="1">
      <c r="A88" s="1">
        <v>88</v>
      </c>
      <c r="B88" s="2" t="s">
        <v>85</v>
      </c>
      <c r="C88" s="2" t="s">
        <v>131</v>
      </c>
      <c r="D88" s="22" t="s">
        <v>132</v>
      </c>
      <c r="E88" s="22" t="s">
        <v>128</v>
      </c>
      <c r="F88" s="1"/>
      <c r="G88" s="24" t="s">
        <v>9</v>
      </c>
      <c r="H88" s="22" t="s">
        <v>284</v>
      </c>
    </row>
    <row r="89" spans="1:8" ht="30" customHeight="1">
      <c r="A89" s="1">
        <v>89</v>
      </c>
      <c r="B89" s="2" t="s">
        <v>85</v>
      </c>
      <c r="C89" s="27" t="s">
        <v>286</v>
      </c>
      <c r="D89" s="27" t="s">
        <v>285</v>
      </c>
      <c r="E89" s="22" t="s">
        <v>287</v>
      </c>
      <c r="F89" s="1"/>
      <c r="G89" s="24" t="s">
        <v>9</v>
      </c>
      <c r="H89" s="22" t="s">
        <v>285</v>
      </c>
    </row>
    <row r="90" spans="1:8" ht="30" customHeight="1">
      <c r="A90" s="1">
        <v>90</v>
      </c>
      <c r="B90" s="2" t="s">
        <v>85</v>
      </c>
      <c r="C90" s="27" t="s">
        <v>288</v>
      </c>
      <c r="D90" s="27" t="s">
        <v>290</v>
      </c>
      <c r="E90" s="2" t="s">
        <v>291</v>
      </c>
      <c r="F90" s="1"/>
      <c r="G90" s="24" t="s">
        <v>9</v>
      </c>
      <c r="H90" s="22" t="s">
        <v>289</v>
      </c>
    </row>
    <row r="91" spans="1:8" ht="30" customHeight="1">
      <c r="A91" s="1">
        <v>91</v>
      </c>
      <c r="B91" s="2" t="s">
        <v>85</v>
      </c>
      <c r="C91" s="27" t="s">
        <v>90</v>
      </c>
      <c r="D91" s="27" t="s">
        <v>292</v>
      </c>
      <c r="E91" s="22" t="s">
        <v>210</v>
      </c>
      <c r="F91" s="1"/>
      <c r="G91" s="24" t="s">
        <v>9</v>
      </c>
      <c r="H91" s="22" t="s">
        <v>292</v>
      </c>
    </row>
    <row r="92" spans="1:8" ht="30" customHeight="1">
      <c r="A92" s="1">
        <v>92</v>
      </c>
      <c r="B92" s="2" t="s">
        <v>85</v>
      </c>
      <c r="C92" s="27" t="s">
        <v>294</v>
      </c>
      <c r="D92" s="27" t="s">
        <v>293</v>
      </c>
      <c r="E92" s="22" t="s">
        <v>295</v>
      </c>
      <c r="F92" s="1"/>
      <c r="G92" s="24" t="s">
        <v>9</v>
      </c>
      <c r="H92" s="22" t="s">
        <v>293</v>
      </c>
    </row>
    <row r="93" spans="1:8" ht="30" customHeight="1">
      <c r="A93" s="1">
        <v>93</v>
      </c>
      <c r="B93" s="2" t="s">
        <v>85</v>
      </c>
      <c r="C93" s="27" t="s">
        <v>298</v>
      </c>
      <c r="D93" s="27" t="s">
        <v>296</v>
      </c>
      <c r="E93" s="2" t="s">
        <v>297</v>
      </c>
      <c r="F93" s="1"/>
      <c r="G93" s="24" t="s">
        <v>9</v>
      </c>
      <c r="H93" s="22" t="s">
        <v>296</v>
      </c>
    </row>
    <row r="94" spans="1:8" ht="30" customHeight="1">
      <c r="A94" s="1">
        <v>94</v>
      </c>
      <c r="B94" s="2" t="s">
        <v>85</v>
      </c>
      <c r="C94" s="27" t="s">
        <v>96</v>
      </c>
      <c r="D94" s="27" t="s">
        <v>97</v>
      </c>
      <c r="E94" s="2" t="s">
        <v>300</v>
      </c>
      <c r="F94" s="1"/>
      <c r="G94" s="24" t="s">
        <v>9</v>
      </c>
      <c r="H94" s="22" t="s">
        <v>299</v>
      </c>
    </row>
    <row r="95" spans="1:8" ht="30" customHeight="1">
      <c r="A95" s="1">
        <v>95</v>
      </c>
      <c r="B95" s="2" t="s">
        <v>85</v>
      </c>
      <c r="C95" s="27" t="s">
        <v>301</v>
      </c>
      <c r="D95" s="27" t="s">
        <v>302</v>
      </c>
      <c r="E95" s="22" t="s">
        <v>303</v>
      </c>
      <c r="F95" s="1"/>
      <c r="G95" s="24" t="s">
        <v>9</v>
      </c>
      <c r="H95" s="2" t="s">
        <v>302</v>
      </c>
    </row>
    <row r="96" spans="1:8" ht="30" customHeight="1">
      <c r="A96" s="1">
        <v>96</v>
      </c>
      <c r="B96" s="2" t="s">
        <v>85</v>
      </c>
      <c r="C96" s="27" t="s">
        <v>305</v>
      </c>
      <c r="D96" s="27" t="s">
        <v>304</v>
      </c>
      <c r="E96" s="22" t="s">
        <v>306</v>
      </c>
      <c r="F96" s="1"/>
      <c r="G96" s="24" t="s">
        <v>9</v>
      </c>
      <c r="H96" s="22" t="s">
        <v>304</v>
      </c>
    </row>
    <row r="97" spans="1:8" ht="30" customHeight="1">
      <c r="A97" s="1">
        <v>97</v>
      </c>
      <c r="B97" s="2" t="s">
        <v>85</v>
      </c>
      <c r="C97" s="27" t="s">
        <v>307</v>
      </c>
      <c r="D97" s="27" t="s">
        <v>308</v>
      </c>
      <c r="E97" s="22" t="s">
        <v>309</v>
      </c>
      <c r="F97" s="1"/>
      <c r="G97" s="24" t="s">
        <v>9</v>
      </c>
      <c r="H97" s="27" t="s">
        <v>308</v>
      </c>
    </row>
    <row r="98" spans="1:8" ht="30" customHeight="1">
      <c r="A98" s="1">
        <v>98</v>
      </c>
      <c r="B98" s="2" t="s">
        <v>85</v>
      </c>
      <c r="C98" s="27" t="s">
        <v>312</v>
      </c>
      <c r="D98" s="27" t="s">
        <v>310</v>
      </c>
      <c r="E98" s="2" t="s">
        <v>311</v>
      </c>
      <c r="F98" s="1"/>
      <c r="G98" s="24" t="s">
        <v>9</v>
      </c>
      <c r="H98" s="2" t="s">
        <v>310</v>
      </c>
    </row>
    <row r="99" spans="1:8" ht="30" customHeight="1">
      <c r="A99" s="1">
        <v>99</v>
      </c>
      <c r="B99" s="2" t="s">
        <v>85</v>
      </c>
      <c r="C99" s="27" t="s">
        <v>317</v>
      </c>
      <c r="D99" s="27" t="s">
        <v>318</v>
      </c>
      <c r="E99" s="22" t="s">
        <v>319</v>
      </c>
      <c r="F99" s="1"/>
      <c r="G99" s="24" t="s">
        <v>9</v>
      </c>
      <c r="H99" s="22" t="s">
        <v>318</v>
      </c>
    </row>
    <row r="100" spans="1:8" ht="30" customHeight="1">
      <c r="A100" s="1">
        <v>100</v>
      </c>
      <c r="B100" s="2" t="s">
        <v>85</v>
      </c>
      <c r="C100" s="27" t="s">
        <v>313</v>
      </c>
      <c r="D100" s="27" t="s">
        <v>314</v>
      </c>
      <c r="E100" s="22" t="s">
        <v>316</v>
      </c>
      <c r="F100" s="1"/>
      <c r="G100" s="24" t="s">
        <v>9</v>
      </c>
      <c r="H100" s="2" t="s">
        <v>315</v>
      </c>
    </row>
    <row r="101" spans="1:8" ht="30" customHeight="1">
      <c r="A101" s="1"/>
      <c r="B101" s="1"/>
      <c r="C101" s="1"/>
      <c r="D101" s="1"/>
      <c r="E101" s="1"/>
      <c r="F101" s="1"/>
      <c r="G101" s="1"/>
      <c r="H101" s="1"/>
    </row>
  </sheetData>
  <dataValidations count="2">
    <dataValidation type="list" allowBlank="1" sqref="G2:G100" xr:uid="{00000000-0002-0000-0000-000000000000}">
      <formula1>"Not started,In progress,Tested - Pass,Tested - Fail,To be tested"</formula1>
      <formula2>0</formula2>
    </dataValidation>
    <dataValidation type="list" allowBlank="1" sqref="B2:B100" xr:uid="{00000000-0002-0000-0000-000001000000}">
      <formula1>"General,Table,Picture,OCR/Scanned,Not Found"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heetViews>
  <sheetFormatPr defaultColWidth="8.6328125" defaultRowHeight="14.5"/>
  <cols>
    <col min="1" max="1" width="16" customWidth="1"/>
    <col min="2" max="3" width="10" customWidth="1"/>
    <col min="4" max="4" width="14" customWidth="1"/>
  </cols>
  <sheetData>
    <row r="1" spans="1:4" ht="16.5" customHeight="1">
      <c r="A1" s="3" t="s">
        <v>117</v>
      </c>
    </row>
    <row r="3" spans="1:4">
      <c r="A3" s="4" t="s">
        <v>1</v>
      </c>
      <c r="B3" s="4" t="s">
        <v>118</v>
      </c>
      <c r="C3" s="4" t="s">
        <v>119</v>
      </c>
      <c r="D3" s="4" t="s">
        <v>120</v>
      </c>
    </row>
    <row r="4" spans="1:4">
      <c r="A4" s="1" t="s">
        <v>6</v>
      </c>
      <c r="B4" s="1">
        <v>30</v>
      </c>
      <c r="C4" s="1">
        <f>COUNTIF('Test Questions'!B:B,A4)</f>
        <v>29</v>
      </c>
      <c r="D4" s="1">
        <f>COUNTIFS('Test Questions'!B:B,A4,'Test Questions'!G:G,"Tested - Pass")</f>
        <v>29</v>
      </c>
    </row>
    <row r="5" spans="1:4">
      <c r="A5" s="1" t="s">
        <v>12</v>
      </c>
      <c r="B5" s="1">
        <v>16</v>
      </c>
      <c r="C5" s="1">
        <f>COUNTIF('Test Questions'!B:B,A5)</f>
        <v>16</v>
      </c>
      <c r="D5" s="1">
        <f>COUNTIFS('Test Questions'!B:B,A5,'Test Questions'!G:G,"Tested - Pass")</f>
        <v>16</v>
      </c>
    </row>
    <row r="6" spans="1:4">
      <c r="A6" s="1" t="s">
        <v>36</v>
      </c>
      <c r="B6" s="1">
        <v>20</v>
      </c>
      <c r="C6" s="1">
        <f>COUNTIF('Test Questions'!B:B,A6)</f>
        <v>21</v>
      </c>
      <c r="D6" s="1">
        <f>COUNTIFS('Test Questions'!B:B,A6,'Test Questions'!G:G,"Tested - Pass")</f>
        <v>21</v>
      </c>
    </row>
    <row r="7" spans="1:4">
      <c r="A7" s="1" t="s">
        <v>33</v>
      </c>
      <c r="B7" s="1">
        <v>4</v>
      </c>
      <c r="C7" s="1">
        <f>COUNTIF('Test Questions'!B:B,A7)</f>
        <v>4</v>
      </c>
      <c r="D7" s="1">
        <f>COUNTIFS('Test Questions'!B:B,A7,'Test Questions'!G:G,"Tested - Pass")</f>
        <v>4</v>
      </c>
    </row>
    <row r="8" spans="1:4">
      <c r="A8" s="1" t="s">
        <v>85</v>
      </c>
      <c r="B8" s="1">
        <v>30</v>
      </c>
      <c r="C8" s="1">
        <f>COUNTIF('Test Questions'!B:B,A8)</f>
        <v>29</v>
      </c>
      <c r="D8" s="1">
        <f>COUNTIFS('Test Questions'!B:B,A8,'Test Questions'!G:G,"Tested - Pass")</f>
        <v>29</v>
      </c>
    </row>
    <row r="9" spans="1:4">
      <c r="A9" s="5" t="s">
        <v>121</v>
      </c>
      <c r="B9" s="5">
        <v>100</v>
      </c>
      <c r="C9" s="5">
        <f>SUM(C4:C8)</f>
        <v>99</v>
      </c>
      <c r="D9" s="5">
        <f>SUM(D4:D8)</f>
        <v>99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Deekshita Saravanan</cp:lastModifiedBy>
  <cp:revision>0</cp:revision>
  <dcterms:created xsi:type="dcterms:W3CDTF">2026-09-02T10:06:27Z</dcterms:created>
  <dcterms:modified xsi:type="dcterms:W3CDTF">2026-09-18T04:23:32Z</dcterms:modified>
  <dc:language>en-US</dc:language>
</cp:coreProperties>
</file>